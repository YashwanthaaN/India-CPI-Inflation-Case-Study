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dia CPI Inflation Case Study\"/>
    </mc:Choice>
  </mc:AlternateContent>
  <xr:revisionPtr revIDLastSave="0" documentId="8_{4FC8F8DF-2E26-4650-9FC7-423B7678302A}" xr6:coauthVersionLast="47" xr6:coauthVersionMax="47" xr10:uidLastSave="{00000000-0000-0000-0000-000000000000}"/>
  <bookViews>
    <workbookView xWindow="-108" yWindow="-108" windowWidth="23256" windowHeight="12456" firstSheet="3" activeTab="3" xr2:uid="{7D4A504C-5B5D-4700-857E-B1D67F0E8998}"/>
  </bookViews>
  <sheets>
    <sheet name="All_India_Index_Upto_April23 (1" sheetId="6" r:id="rId1"/>
    <sheet name="Cleaned_Data" sheetId="7" r:id="rId2"/>
    <sheet name="PS_1" sheetId="8" r:id="rId3"/>
    <sheet name="PS_2" sheetId="10" r:id="rId4"/>
    <sheet name="PS_3" sheetId="11" r:id="rId5"/>
    <sheet name="PS_4" sheetId="12" r:id="rId6"/>
    <sheet name="PS_5" sheetId="13" r:id="rId7"/>
  </sheets>
  <definedNames>
    <definedName name="_xlnm._FilterDatabase" localSheetId="0" hidden="1">'All_India_Index_Upto_April23 (1'!$A$1:$AD$373</definedName>
    <definedName name="_xlnm._FilterDatabase" localSheetId="1" hidden="1">Cleaned_Data!$A$1:$AJ$373</definedName>
  </definedNames>
  <calcPr calcId="191028"/>
  <pivotCaches>
    <pivotCache cacheId="30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D11" i="10"/>
  <c r="E11" i="10"/>
  <c r="F11" i="10"/>
  <c r="G11" i="10"/>
  <c r="C10" i="10"/>
  <c r="D10" i="10"/>
  <c r="E10" i="10"/>
  <c r="F10" i="10"/>
  <c r="G10" i="10"/>
  <c r="H10" i="10"/>
  <c r="H12" i="10" s="1"/>
  <c r="B11" i="10"/>
  <c r="B10" i="10"/>
  <c r="AJ11" i="7"/>
  <c r="AJ7" i="7"/>
  <c r="AJ4" i="7"/>
  <c r="AJ2" i="7"/>
  <c r="AG2" i="7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6" i="13"/>
  <c r="AD38" i="13"/>
  <c r="AD37" i="13"/>
  <c r="AD36" i="13"/>
  <c r="AD35" i="13"/>
  <c r="AD34" i="13"/>
  <c r="AD33" i="13"/>
  <c r="AC38" i="13"/>
  <c r="AC37" i="13"/>
  <c r="AC36" i="13"/>
  <c r="AC35" i="13"/>
  <c r="AC34" i="13"/>
  <c r="AC33" i="13"/>
  <c r="AB38" i="13"/>
  <c r="AB37" i="13"/>
  <c r="AB36" i="13"/>
  <c r="AB35" i="13"/>
  <c r="AB34" i="13"/>
  <c r="AB33" i="13"/>
  <c r="AA38" i="13"/>
  <c r="AA37" i="13"/>
  <c r="AA36" i="13"/>
  <c r="AA35" i="13"/>
  <c r="AA34" i="13"/>
  <c r="AA33" i="13"/>
  <c r="Z38" i="13"/>
  <c r="Z37" i="13"/>
  <c r="Z36" i="13"/>
  <c r="Z35" i="13"/>
  <c r="Z34" i="13"/>
  <c r="Z33" i="13"/>
  <c r="Y38" i="13"/>
  <c r="Y37" i="13"/>
  <c r="Y36" i="13"/>
  <c r="Y35" i="13"/>
  <c r="Y34" i="13"/>
  <c r="Y33" i="13"/>
  <c r="X38" i="13"/>
  <c r="X37" i="13"/>
  <c r="X36" i="13"/>
  <c r="X35" i="13"/>
  <c r="X34" i="13"/>
  <c r="X33" i="13"/>
  <c r="W38" i="13"/>
  <c r="W37" i="13"/>
  <c r="W36" i="13"/>
  <c r="W35" i="13"/>
  <c r="W34" i="13"/>
  <c r="W33" i="13"/>
  <c r="V38" i="13"/>
  <c r="V37" i="13"/>
  <c r="V36" i="13"/>
  <c r="V35" i="13"/>
  <c r="V34" i="13"/>
  <c r="V33" i="13"/>
  <c r="U38" i="13"/>
  <c r="U37" i="13"/>
  <c r="U36" i="13"/>
  <c r="U35" i="13"/>
  <c r="U34" i="13"/>
  <c r="U33" i="13"/>
  <c r="T38" i="13"/>
  <c r="T37" i="13"/>
  <c r="T36" i="13"/>
  <c r="T35" i="13"/>
  <c r="T34" i="13"/>
  <c r="T33" i="13"/>
  <c r="S38" i="13"/>
  <c r="S37" i="13"/>
  <c r="S36" i="13"/>
  <c r="S35" i="13"/>
  <c r="S34" i="13"/>
  <c r="S33" i="13"/>
  <c r="R38" i="13"/>
  <c r="R37" i="13"/>
  <c r="R36" i="13"/>
  <c r="R35" i="13"/>
  <c r="R34" i="13"/>
  <c r="R33" i="13"/>
  <c r="Q38" i="13"/>
  <c r="Q37" i="13"/>
  <c r="Q36" i="13"/>
  <c r="Q35" i="13"/>
  <c r="Q34" i="13"/>
  <c r="Q33" i="13"/>
  <c r="P38" i="13"/>
  <c r="P37" i="13"/>
  <c r="P36" i="13"/>
  <c r="P35" i="13"/>
  <c r="P34" i="13"/>
  <c r="P33" i="13"/>
  <c r="O38" i="13"/>
  <c r="O37" i="13"/>
  <c r="O36" i="13"/>
  <c r="O35" i="13"/>
  <c r="O34" i="13"/>
  <c r="O33" i="13"/>
  <c r="N38" i="13"/>
  <c r="N37" i="13"/>
  <c r="N36" i="13"/>
  <c r="N35" i="13"/>
  <c r="N34" i="13"/>
  <c r="N33" i="13"/>
  <c r="M38" i="13"/>
  <c r="M37" i="13"/>
  <c r="M36" i="13"/>
  <c r="M35" i="13"/>
  <c r="M34" i="13"/>
  <c r="M33" i="13"/>
  <c r="L38" i="13"/>
  <c r="L37" i="13"/>
  <c r="L36" i="13"/>
  <c r="L35" i="13"/>
  <c r="L34" i="13"/>
  <c r="L33" i="13"/>
  <c r="K38" i="13"/>
  <c r="K37" i="13"/>
  <c r="K36" i="13"/>
  <c r="K35" i="13"/>
  <c r="K34" i="13"/>
  <c r="K33" i="13"/>
  <c r="J38" i="13"/>
  <c r="J37" i="13"/>
  <c r="J36" i="13"/>
  <c r="J35" i="13"/>
  <c r="J34" i="13"/>
  <c r="J33" i="13"/>
  <c r="I38" i="13"/>
  <c r="I37" i="13"/>
  <c r="I36" i="13"/>
  <c r="I35" i="13"/>
  <c r="I34" i="13"/>
  <c r="I33" i="13"/>
  <c r="H38" i="13"/>
  <c r="H37" i="13"/>
  <c r="H36" i="13"/>
  <c r="H35" i="13"/>
  <c r="H34" i="13"/>
  <c r="H33" i="13"/>
  <c r="G38" i="13"/>
  <c r="G37" i="13"/>
  <c r="G36" i="13"/>
  <c r="G35" i="13"/>
  <c r="G34" i="13"/>
  <c r="G33" i="13"/>
  <c r="F38" i="13"/>
  <c r="F37" i="13"/>
  <c r="F36" i="13"/>
  <c r="F35" i="13"/>
  <c r="F34" i="13"/>
  <c r="F33" i="13"/>
  <c r="E38" i="13"/>
  <c r="E37" i="13"/>
  <c r="E36" i="13"/>
  <c r="E35" i="13"/>
  <c r="E34" i="13"/>
  <c r="E33" i="13"/>
  <c r="D38" i="13"/>
  <c r="D37" i="13"/>
  <c r="D36" i="13"/>
  <c r="D35" i="13"/>
  <c r="D34" i="13"/>
  <c r="D33" i="13"/>
  <c r="C38" i="13"/>
  <c r="C37" i="13"/>
  <c r="C36" i="13"/>
  <c r="C35" i="13"/>
  <c r="C34" i="13"/>
  <c r="C33" i="13"/>
  <c r="B38" i="13"/>
  <c r="B37" i="13"/>
  <c r="B36" i="13"/>
  <c r="B35" i="13"/>
  <c r="B34" i="13"/>
  <c r="B33" i="13"/>
  <c r="N78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46" i="12"/>
  <c r="M78" i="12"/>
  <c r="M77" i="12"/>
  <c r="M76" i="12"/>
  <c r="M75" i="12"/>
  <c r="M74" i="12"/>
  <c r="M73" i="12"/>
  <c r="L78" i="12"/>
  <c r="L77" i="12"/>
  <c r="L76" i="12"/>
  <c r="L75" i="12"/>
  <c r="L74" i="12"/>
  <c r="L73" i="12"/>
  <c r="K78" i="12"/>
  <c r="K77" i="12"/>
  <c r="K76" i="12"/>
  <c r="K75" i="12"/>
  <c r="K74" i="12"/>
  <c r="K73" i="12"/>
  <c r="J78" i="12"/>
  <c r="J77" i="12"/>
  <c r="J76" i="12"/>
  <c r="J75" i="12"/>
  <c r="J74" i="12"/>
  <c r="J73" i="12"/>
  <c r="I78" i="12"/>
  <c r="I77" i="12"/>
  <c r="I76" i="12"/>
  <c r="I75" i="12"/>
  <c r="I74" i="12"/>
  <c r="I73" i="12"/>
  <c r="H78" i="12"/>
  <c r="H77" i="12"/>
  <c r="H76" i="12"/>
  <c r="H75" i="12"/>
  <c r="H74" i="12"/>
  <c r="H73" i="12"/>
  <c r="G78" i="12"/>
  <c r="G77" i="12"/>
  <c r="G76" i="12"/>
  <c r="G75" i="12"/>
  <c r="G74" i="12"/>
  <c r="G73" i="12"/>
  <c r="F78" i="12"/>
  <c r="F77" i="12"/>
  <c r="F76" i="12"/>
  <c r="F75" i="12"/>
  <c r="F74" i="12"/>
  <c r="F73" i="12"/>
  <c r="E78" i="12"/>
  <c r="E77" i="12"/>
  <c r="E76" i="12"/>
  <c r="E75" i="12"/>
  <c r="E74" i="12"/>
  <c r="E73" i="12"/>
  <c r="D78" i="12"/>
  <c r="D77" i="12"/>
  <c r="D76" i="12"/>
  <c r="D75" i="12"/>
  <c r="D74" i="12"/>
  <c r="D73" i="12"/>
  <c r="C78" i="12"/>
  <c r="C77" i="12"/>
  <c r="C76" i="12"/>
  <c r="C75" i="12"/>
  <c r="C74" i="12"/>
  <c r="C73" i="12"/>
  <c r="B78" i="12"/>
  <c r="B77" i="12"/>
  <c r="B76" i="12"/>
  <c r="B75" i="12"/>
  <c r="B74" i="12"/>
  <c r="B73" i="12"/>
  <c r="N39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7" i="12"/>
  <c r="M39" i="12"/>
  <c r="M38" i="12"/>
  <c r="M37" i="12"/>
  <c r="M36" i="12"/>
  <c r="M35" i="12"/>
  <c r="M34" i="12"/>
  <c r="L39" i="12"/>
  <c r="L38" i="12"/>
  <c r="L37" i="12"/>
  <c r="L36" i="12"/>
  <c r="L35" i="12"/>
  <c r="L34" i="12"/>
  <c r="K39" i="12"/>
  <c r="K38" i="12"/>
  <c r="K37" i="12"/>
  <c r="K36" i="12"/>
  <c r="K35" i="12"/>
  <c r="K34" i="12"/>
  <c r="J39" i="12"/>
  <c r="J38" i="12"/>
  <c r="J37" i="12"/>
  <c r="J36" i="12"/>
  <c r="J35" i="12"/>
  <c r="J34" i="12"/>
  <c r="I39" i="12"/>
  <c r="I38" i="12"/>
  <c r="I37" i="12"/>
  <c r="I36" i="12"/>
  <c r="I35" i="12"/>
  <c r="I34" i="12"/>
  <c r="H39" i="12"/>
  <c r="H38" i="12"/>
  <c r="H37" i="12"/>
  <c r="H36" i="12"/>
  <c r="H35" i="12"/>
  <c r="H34" i="12"/>
  <c r="G39" i="12"/>
  <c r="G38" i="12"/>
  <c r="G37" i="12"/>
  <c r="G36" i="12"/>
  <c r="G35" i="12"/>
  <c r="G34" i="12"/>
  <c r="F39" i="12"/>
  <c r="F38" i="12"/>
  <c r="F37" i="12"/>
  <c r="F36" i="12"/>
  <c r="F35" i="12"/>
  <c r="F34" i="12"/>
  <c r="E39" i="12"/>
  <c r="E38" i="12"/>
  <c r="E37" i="12"/>
  <c r="E36" i="12"/>
  <c r="E35" i="12"/>
  <c r="E34" i="12"/>
  <c r="D39" i="12"/>
  <c r="D38" i="12"/>
  <c r="D37" i="12"/>
  <c r="D36" i="12"/>
  <c r="D35" i="12"/>
  <c r="D34" i="12"/>
  <c r="C39" i="12"/>
  <c r="C38" i="12"/>
  <c r="C37" i="12"/>
  <c r="C36" i="12"/>
  <c r="C35" i="12"/>
  <c r="C34" i="12"/>
  <c r="B39" i="12"/>
  <c r="B38" i="12"/>
  <c r="B37" i="12"/>
  <c r="B36" i="12"/>
  <c r="B35" i="12"/>
  <c r="B34" i="12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4" i="11"/>
  <c r="O35" i="11"/>
  <c r="O5" i="11"/>
  <c r="N37" i="11"/>
  <c r="O37" i="11" s="1"/>
  <c r="N36" i="11"/>
  <c r="N35" i="11"/>
  <c r="N34" i="11"/>
  <c r="N33" i="11"/>
  <c r="N32" i="11"/>
  <c r="M37" i="11"/>
  <c r="M36" i="11"/>
  <c r="M35" i="11"/>
  <c r="M34" i="11"/>
  <c r="M33" i="11"/>
  <c r="M32" i="11"/>
  <c r="L37" i="11"/>
  <c r="L36" i="11"/>
  <c r="L35" i="11"/>
  <c r="L34" i="11"/>
  <c r="L33" i="11"/>
  <c r="L32" i="11"/>
  <c r="K37" i="11"/>
  <c r="K36" i="11"/>
  <c r="K35" i="11"/>
  <c r="K34" i="11"/>
  <c r="K33" i="11"/>
  <c r="K32" i="11"/>
  <c r="J37" i="11"/>
  <c r="J36" i="11"/>
  <c r="J35" i="11"/>
  <c r="J34" i="11"/>
  <c r="J33" i="11"/>
  <c r="J32" i="11"/>
  <c r="B49" i="11" s="1"/>
  <c r="I37" i="11"/>
  <c r="I36" i="11"/>
  <c r="I35" i="11"/>
  <c r="I34" i="11"/>
  <c r="I33" i="11"/>
  <c r="I32" i="11"/>
  <c r="H37" i="11"/>
  <c r="H36" i="11"/>
  <c r="H35" i="11"/>
  <c r="H34" i="11"/>
  <c r="H33" i="11"/>
  <c r="H32" i="11"/>
  <c r="B47" i="11" s="1"/>
  <c r="G37" i="11"/>
  <c r="G36" i="11"/>
  <c r="G35" i="11"/>
  <c r="G34" i="11"/>
  <c r="G33" i="11"/>
  <c r="G32" i="11"/>
  <c r="F37" i="11"/>
  <c r="F36" i="11"/>
  <c r="F35" i="11"/>
  <c r="F34" i="11"/>
  <c r="F33" i="11"/>
  <c r="F32" i="11"/>
  <c r="B45" i="11" s="1"/>
  <c r="E37" i="11"/>
  <c r="E36" i="11"/>
  <c r="E35" i="11"/>
  <c r="E34" i="11"/>
  <c r="E33" i="11"/>
  <c r="E32" i="11"/>
  <c r="D37" i="11"/>
  <c r="D36" i="11"/>
  <c r="D35" i="11"/>
  <c r="D34" i="11"/>
  <c r="D33" i="11"/>
  <c r="D32" i="11"/>
  <c r="C37" i="11"/>
  <c r="C36" i="11"/>
  <c r="C35" i="11"/>
  <c r="C34" i="11"/>
  <c r="C33" i="11"/>
  <c r="C32" i="11"/>
  <c r="B37" i="11"/>
  <c r="B36" i="11"/>
  <c r="B35" i="11"/>
  <c r="B34" i="11"/>
  <c r="B33" i="11"/>
  <c r="B32" i="11"/>
  <c r="AJ3" i="7"/>
  <c r="AJ5" i="7"/>
  <c r="AJ6" i="7"/>
  <c r="AJ8" i="7"/>
  <c r="AJ9" i="7"/>
  <c r="AJ10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137" i="7"/>
  <c r="AJ138" i="7"/>
  <c r="AJ139" i="7"/>
  <c r="AJ140" i="7"/>
  <c r="AJ141" i="7"/>
  <c r="AJ142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J182" i="7"/>
  <c r="AJ183" i="7"/>
  <c r="AJ184" i="7"/>
  <c r="AJ185" i="7"/>
  <c r="AJ186" i="7"/>
  <c r="AJ187" i="7"/>
  <c r="AJ188" i="7"/>
  <c r="AJ189" i="7"/>
  <c r="AJ190" i="7"/>
  <c r="AJ191" i="7"/>
  <c r="AJ192" i="7"/>
  <c r="AJ193" i="7"/>
  <c r="AJ194" i="7"/>
  <c r="AJ195" i="7"/>
  <c r="AJ196" i="7"/>
  <c r="AJ197" i="7"/>
  <c r="AJ198" i="7"/>
  <c r="AJ199" i="7"/>
  <c r="AJ200" i="7"/>
  <c r="AJ201" i="7"/>
  <c r="AJ202" i="7"/>
  <c r="AJ203" i="7"/>
  <c r="AJ204" i="7"/>
  <c r="AJ205" i="7"/>
  <c r="AJ206" i="7"/>
  <c r="AJ207" i="7"/>
  <c r="AJ208" i="7"/>
  <c r="AJ209" i="7"/>
  <c r="AJ210" i="7"/>
  <c r="AJ211" i="7"/>
  <c r="AJ212" i="7"/>
  <c r="AJ213" i="7"/>
  <c r="AJ214" i="7"/>
  <c r="AJ215" i="7"/>
  <c r="AJ216" i="7"/>
  <c r="AJ217" i="7"/>
  <c r="AJ218" i="7"/>
  <c r="AJ219" i="7"/>
  <c r="AJ220" i="7"/>
  <c r="AJ221" i="7"/>
  <c r="AJ222" i="7"/>
  <c r="AJ223" i="7"/>
  <c r="AJ224" i="7"/>
  <c r="AJ225" i="7"/>
  <c r="AJ226" i="7"/>
  <c r="AJ227" i="7"/>
  <c r="AJ228" i="7"/>
  <c r="AJ229" i="7"/>
  <c r="AJ230" i="7"/>
  <c r="AJ231" i="7"/>
  <c r="AJ232" i="7"/>
  <c r="AJ233" i="7"/>
  <c r="AJ234" i="7"/>
  <c r="AJ235" i="7"/>
  <c r="AJ236" i="7"/>
  <c r="AJ237" i="7"/>
  <c r="AJ238" i="7"/>
  <c r="AJ239" i="7"/>
  <c r="AJ240" i="7"/>
  <c r="AJ241" i="7"/>
  <c r="AJ242" i="7"/>
  <c r="AJ243" i="7"/>
  <c r="AJ244" i="7"/>
  <c r="AJ245" i="7"/>
  <c r="AJ246" i="7"/>
  <c r="AJ247" i="7"/>
  <c r="AJ248" i="7"/>
  <c r="AJ249" i="7"/>
  <c r="AJ250" i="7"/>
  <c r="AJ251" i="7"/>
  <c r="AJ252" i="7"/>
  <c r="AJ253" i="7"/>
  <c r="AJ254" i="7"/>
  <c r="AJ255" i="7"/>
  <c r="AJ256" i="7"/>
  <c r="AJ257" i="7"/>
  <c r="AJ258" i="7"/>
  <c r="AJ259" i="7"/>
  <c r="AJ260" i="7"/>
  <c r="AJ261" i="7"/>
  <c r="AJ262" i="7"/>
  <c r="AJ263" i="7"/>
  <c r="AJ264" i="7"/>
  <c r="AJ265" i="7"/>
  <c r="AJ266" i="7"/>
  <c r="AJ267" i="7"/>
  <c r="AJ268" i="7"/>
  <c r="AJ269" i="7"/>
  <c r="AJ270" i="7"/>
  <c r="AJ271" i="7"/>
  <c r="AJ272" i="7"/>
  <c r="AJ273" i="7"/>
  <c r="AJ274" i="7"/>
  <c r="AJ275" i="7"/>
  <c r="AJ276" i="7"/>
  <c r="AJ277" i="7"/>
  <c r="AJ278" i="7"/>
  <c r="AJ279" i="7"/>
  <c r="AJ280" i="7"/>
  <c r="AJ281" i="7"/>
  <c r="AJ282" i="7"/>
  <c r="AJ283" i="7"/>
  <c r="AJ284" i="7"/>
  <c r="AJ285" i="7"/>
  <c r="AJ286" i="7"/>
  <c r="AJ287" i="7"/>
  <c r="AJ288" i="7"/>
  <c r="AJ289" i="7"/>
  <c r="AJ290" i="7"/>
  <c r="AJ291" i="7"/>
  <c r="AJ292" i="7"/>
  <c r="AJ293" i="7"/>
  <c r="AJ294" i="7"/>
  <c r="AJ295" i="7"/>
  <c r="AJ296" i="7"/>
  <c r="AJ297" i="7"/>
  <c r="AJ298" i="7"/>
  <c r="AJ299" i="7"/>
  <c r="AJ300" i="7"/>
  <c r="AJ301" i="7"/>
  <c r="AJ302" i="7"/>
  <c r="AJ303" i="7"/>
  <c r="AJ304" i="7"/>
  <c r="AJ305" i="7"/>
  <c r="AJ306" i="7"/>
  <c r="AJ307" i="7"/>
  <c r="AJ308" i="7"/>
  <c r="AJ309" i="7"/>
  <c r="AJ310" i="7"/>
  <c r="AJ311" i="7"/>
  <c r="AJ312" i="7"/>
  <c r="AJ313" i="7"/>
  <c r="AJ314" i="7"/>
  <c r="AJ315" i="7"/>
  <c r="AJ316" i="7"/>
  <c r="AJ317" i="7"/>
  <c r="AJ318" i="7"/>
  <c r="AJ319" i="7"/>
  <c r="AJ320" i="7"/>
  <c r="AJ321" i="7"/>
  <c r="AJ322" i="7"/>
  <c r="AJ323" i="7"/>
  <c r="AJ324" i="7"/>
  <c r="AJ325" i="7"/>
  <c r="AJ326" i="7"/>
  <c r="AJ327" i="7"/>
  <c r="AJ328" i="7"/>
  <c r="AJ329" i="7"/>
  <c r="AJ330" i="7"/>
  <c r="AJ331" i="7"/>
  <c r="AJ332" i="7"/>
  <c r="AJ333" i="7"/>
  <c r="AJ334" i="7"/>
  <c r="AJ335" i="7"/>
  <c r="AJ336" i="7"/>
  <c r="AJ337" i="7"/>
  <c r="AJ338" i="7"/>
  <c r="AJ339" i="7"/>
  <c r="AJ340" i="7"/>
  <c r="AJ341" i="7"/>
  <c r="AJ342" i="7"/>
  <c r="AJ343" i="7"/>
  <c r="AJ344" i="7"/>
  <c r="AJ345" i="7"/>
  <c r="AJ346" i="7"/>
  <c r="AJ347" i="7"/>
  <c r="AJ348" i="7"/>
  <c r="AJ349" i="7"/>
  <c r="AJ350" i="7"/>
  <c r="AJ351" i="7"/>
  <c r="AJ352" i="7"/>
  <c r="AJ353" i="7"/>
  <c r="AJ354" i="7"/>
  <c r="AJ355" i="7"/>
  <c r="AJ356" i="7"/>
  <c r="AJ357" i="7"/>
  <c r="AJ358" i="7"/>
  <c r="AJ359" i="7"/>
  <c r="AJ360" i="7"/>
  <c r="AJ361" i="7"/>
  <c r="AJ362" i="7"/>
  <c r="AJ363" i="7"/>
  <c r="AJ364" i="7"/>
  <c r="AJ365" i="7"/>
  <c r="AJ366" i="7"/>
  <c r="AJ367" i="7"/>
  <c r="AJ368" i="7"/>
  <c r="AJ369" i="7"/>
  <c r="AJ370" i="7"/>
  <c r="AJ371" i="7"/>
  <c r="AJ372" i="7"/>
  <c r="AJ373" i="7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I178" i="7"/>
  <c r="AI179" i="7"/>
  <c r="AI180" i="7"/>
  <c r="AI181" i="7"/>
  <c r="AI182" i="7"/>
  <c r="AI183" i="7"/>
  <c r="AI184" i="7"/>
  <c r="AI185" i="7"/>
  <c r="AI186" i="7"/>
  <c r="AI187" i="7"/>
  <c r="AI188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I214" i="7"/>
  <c r="AI215" i="7"/>
  <c r="AI216" i="7"/>
  <c r="AI217" i="7"/>
  <c r="AI218" i="7"/>
  <c r="AI219" i="7"/>
  <c r="AI220" i="7"/>
  <c r="AI221" i="7"/>
  <c r="AI222" i="7"/>
  <c r="AI223" i="7"/>
  <c r="AI224" i="7"/>
  <c r="AI225" i="7"/>
  <c r="AI226" i="7"/>
  <c r="AI227" i="7"/>
  <c r="AI228" i="7"/>
  <c r="AI229" i="7"/>
  <c r="AI230" i="7"/>
  <c r="AI231" i="7"/>
  <c r="AI232" i="7"/>
  <c r="AI233" i="7"/>
  <c r="AI234" i="7"/>
  <c r="AI235" i="7"/>
  <c r="AI236" i="7"/>
  <c r="AI237" i="7"/>
  <c r="AI238" i="7"/>
  <c r="AI239" i="7"/>
  <c r="AI240" i="7"/>
  <c r="AI241" i="7"/>
  <c r="AI242" i="7"/>
  <c r="AI243" i="7"/>
  <c r="AI244" i="7"/>
  <c r="AI245" i="7"/>
  <c r="AI246" i="7"/>
  <c r="AI247" i="7"/>
  <c r="AI248" i="7"/>
  <c r="AI249" i="7"/>
  <c r="AI250" i="7"/>
  <c r="AI251" i="7"/>
  <c r="AI252" i="7"/>
  <c r="AI253" i="7"/>
  <c r="AI254" i="7"/>
  <c r="AI255" i="7"/>
  <c r="AI256" i="7"/>
  <c r="AI257" i="7"/>
  <c r="AI258" i="7"/>
  <c r="AI259" i="7"/>
  <c r="AI260" i="7"/>
  <c r="AI261" i="7"/>
  <c r="AI262" i="7"/>
  <c r="AI263" i="7"/>
  <c r="AI264" i="7"/>
  <c r="AI265" i="7"/>
  <c r="AI266" i="7"/>
  <c r="AI267" i="7"/>
  <c r="AI268" i="7"/>
  <c r="AI269" i="7"/>
  <c r="AI270" i="7"/>
  <c r="AI271" i="7"/>
  <c r="AI272" i="7"/>
  <c r="AI273" i="7"/>
  <c r="AI274" i="7"/>
  <c r="AI275" i="7"/>
  <c r="AI276" i="7"/>
  <c r="AI277" i="7"/>
  <c r="AI278" i="7"/>
  <c r="AI279" i="7"/>
  <c r="AI280" i="7"/>
  <c r="AI281" i="7"/>
  <c r="AI282" i="7"/>
  <c r="AI283" i="7"/>
  <c r="AI284" i="7"/>
  <c r="AI285" i="7"/>
  <c r="AI286" i="7"/>
  <c r="AI287" i="7"/>
  <c r="AI288" i="7"/>
  <c r="AI289" i="7"/>
  <c r="AI290" i="7"/>
  <c r="AI291" i="7"/>
  <c r="AI292" i="7"/>
  <c r="AI293" i="7"/>
  <c r="AI294" i="7"/>
  <c r="AI295" i="7"/>
  <c r="AI296" i="7"/>
  <c r="AI297" i="7"/>
  <c r="AI298" i="7"/>
  <c r="AI299" i="7"/>
  <c r="AI300" i="7"/>
  <c r="AI301" i="7"/>
  <c r="AI302" i="7"/>
  <c r="AI303" i="7"/>
  <c r="AI304" i="7"/>
  <c r="AI305" i="7"/>
  <c r="AI306" i="7"/>
  <c r="AI307" i="7"/>
  <c r="AI308" i="7"/>
  <c r="AI309" i="7"/>
  <c r="AI310" i="7"/>
  <c r="AI311" i="7"/>
  <c r="AI312" i="7"/>
  <c r="AI313" i="7"/>
  <c r="AI314" i="7"/>
  <c r="AI315" i="7"/>
  <c r="AI316" i="7"/>
  <c r="AI317" i="7"/>
  <c r="AI318" i="7"/>
  <c r="AI319" i="7"/>
  <c r="AI320" i="7"/>
  <c r="AI321" i="7"/>
  <c r="AI322" i="7"/>
  <c r="AI323" i="7"/>
  <c r="AI324" i="7"/>
  <c r="AI325" i="7"/>
  <c r="AI326" i="7"/>
  <c r="AI327" i="7"/>
  <c r="AI328" i="7"/>
  <c r="AI329" i="7"/>
  <c r="AI330" i="7"/>
  <c r="AI331" i="7"/>
  <c r="AI332" i="7"/>
  <c r="AI333" i="7"/>
  <c r="AI334" i="7"/>
  <c r="AI335" i="7"/>
  <c r="AI336" i="7"/>
  <c r="AI337" i="7"/>
  <c r="AI338" i="7"/>
  <c r="AI339" i="7"/>
  <c r="AI340" i="7"/>
  <c r="AI341" i="7"/>
  <c r="AI342" i="7"/>
  <c r="AI343" i="7"/>
  <c r="AI344" i="7"/>
  <c r="AI345" i="7"/>
  <c r="AI346" i="7"/>
  <c r="AI347" i="7"/>
  <c r="AI348" i="7"/>
  <c r="AI349" i="7"/>
  <c r="AI350" i="7"/>
  <c r="AI351" i="7"/>
  <c r="AI352" i="7"/>
  <c r="AI353" i="7"/>
  <c r="AI354" i="7"/>
  <c r="AI355" i="7"/>
  <c r="AI356" i="7"/>
  <c r="AI357" i="7"/>
  <c r="AI358" i="7"/>
  <c r="AI359" i="7"/>
  <c r="AI360" i="7"/>
  <c r="AI361" i="7"/>
  <c r="AI362" i="7"/>
  <c r="AI363" i="7"/>
  <c r="AI364" i="7"/>
  <c r="AI365" i="7"/>
  <c r="AI366" i="7"/>
  <c r="AI367" i="7"/>
  <c r="AI368" i="7"/>
  <c r="AI369" i="7"/>
  <c r="AI370" i="7"/>
  <c r="AI371" i="7"/>
  <c r="AI372" i="7"/>
  <c r="AI373" i="7"/>
  <c r="AI2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266" i="7"/>
  <c r="AG267" i="7"/>
  <c r="AG268" i="7"/>
  <c r="AG269" i="7"/>
  <c r="AG270" i="7"/>
  <c r="AG271" i="7"/>
  <c r="AG272" i="7"/>
  <c r="AG273" i="7"/>
  <c r="AG274" i="7"/>
  <c r="AG275" i="7"/>
  <c r="AG276" i="7"/>
  <c r="AG277" i="7"/>
  <c r="AG278" i="7"/>
  <c r="AG279" i="7"/>
  <c r="AG280" i="7"/>
  <c r="AG281" i="7"/>
  <c r="AG282" i="7"/>
  <c r="AG283" i="7"/>
  <c r="AG284" i="7"/>
  <c r="AG285" i="7"/>
  <c r="AG286" i="7"/>
  <c r="AG287" i="7"/>
  <c r="AG288" i="7"/>
  <c r="AG289" i="7"/>
  <c r="AG290" i="7"/>
  <c r="AG291" i="7"/>
  <c r="AG292" i="7"/>
  <c r="AG293" i="7"/>
  <c r="AG294" i="7"/>
  <c r="AG295" i="7"/>
  <c r="AG296" i="7"/>
  <c r="AG297" i="7"/>
  <c r="AG298" i="7"/>
  <c r="AG299" i="7"/>
  <c r="AG300" i="7"/>
  <c r="AG301" i="7"/>
  <c r="AG302" i="7"/>
  <c r="AG303" i="7"/>
  <c r="AG304" i="7"/>
  <c r="AG305" i="7"/>
  <c r="AG306" i="7"/>
  <c r="AG307" i="7"/>
  <c r="AG308" i="7"/>
  <c r="AG309" i="7"/>
  <c r="AG310" i="7"/>
  <c r="AG311" i="7"/>
  <c r="AG312" i="7"/>
  <c r="AG313" i="7"/>
  <c r="AG314" i="7"/>
  <c r="AG315" i="7"/>
  <c r="AG316" i="7"/>
  <c r="AG317" i="7"/>
  <c r="AG318" i="7"/>
  <c r="AG319" i="7"/>
  <c r="AG320" i="7"/>
  <c r="AG321" i="7"/>
  <c r="AG322" i="7"/>
  <c r="AG323" i="7"/>
  <c r="AG324" i="7"/>
  <c r="AG325" i="7"/>
  <c r="AG326" i="7"/>
  <c r="AG327" i="7"/>
  <c r="AG328" i="7"/>
  <c r="AG329" i="7"/>
  <c r="AG330" i="7"/>
  <c r="AG331" i="7"/>
  <c r="AG332" i="7"/>
  <c r="AG333" i="7"/>
  <c r="AG334" i="7"/>
  <c r="AG335" i="7"/>
  <c r="AG336" i="7"/>
  <c r="AG337" i="7"/>
  <c r="AG338" i="7"/>
  <c r="AG339" i="7"/>
  <c r="AG340" i="7"/>
  <c r="AG341" i="7"/>
  <c r="AG342" i="7"/>
  <c r="AG343" i="7"/>
  <c r="AG344" i="7"/>
  <c r="AG345" i="7"/>
  <c r="AG346" i="7"/>
  <c r="AG347" i="7"/>
  <c r="AG348" i="7"/>
  <c r="AG349" i="7"/>
  <c r="AG350" i="7"/>
  <c r="AG351" i="7"/>
  <c r="AG352" i="7"/>
  <c r="AG353" i="7"/>
  <c r="AG354" i="7"/>
  <c r="AG355" i="7"/>
  <c r="AG356" i="7"/>
  <c r="AG357" i="7"/>
  <c r="AG358" i="7"/>
  <c r="AG359" i="7"/>
  <c r="AG360" i="7"/>
  <c r="AG361" i="7"/>
  <c r="AG362" i="7"/>
  <c r="AG363" i="7"/>
  <c r="AG364" i="7"/>
  <c r="AG365" i="7"/>
  <c r="AG366" i="7"/>
  <c r="AG367" i="7"/>
  <c r="AG368" i="7"/>
  <c r="AG369" i="7"/>
  <c r="AG370" i="7"/>
  <c r="AG371" i="7"/>
  <c r="AG372" i="7"/>
  <c r="AG373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2" i="7"/>
  <c r="D32" i="8"/>
  <c r="G31" i="8" s="1"/>
  <c r="C32" i="8"/>
  <c r="F34" i="8" s="1"/>
  <c r="B32" i="8"/>
  <c r="E34" i="8" s="1"/>
  <c r="B12" i="10" l="1"/>
  <c r="G12" i="10"/>
  <c r="F12" i="10"/>
  <c r="E12" i="10"/>
  <c r="D12" i="10"/>
  <c r="C12" i="10"/>
  <c r="G33" i="8"/>
  <c r="G38" i="8"/>
  <c r="E31" i="8"/>
  <c r="G37" i="8"/>
  <c r="G36" i="8"/>
  <c r="G35" i="8"/>
  <c r="G34" i="8"/>
  <c r="E33" i="8"/>
  <c r="F31" i="8"/>
  <c r="E38" i="8"/>
  <c r="E37" i="8"/>
  <c r="E36" i="8"/>
  <c r="E35" i="8"/>
  <c r="F33" i="8"/>
  <c r="F38" i="8"/>
  <c r="F37" i="8"/>
  <c r="F36" i="8"/>
  <c r="F35" i="8"/>
  <c r="O36" i="11"/>
  <c r="B44" i="11"/>
  <c r="B48" i="11"/>
  <c r="B52" i="11"/>
  <c r="B43" i="11"/>
  <c r="B46" i="11"/>
  <c r="B50" i="11"/>
  <c r="O32" i="11"/>
  <c r="O33" i="11"/>
  <c r="B51" i="11"/>
  <c r="B53" i="11"/>
  <c r="B42" i="11"/>
  <c r="G6" i="8"/>
  <c r="F8" i="8"/>
  <c r="E6" i="8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2" i="7"/>
  <c r="E13" i="8" l="1"/>
  <c r="E9" i="8"/>
  <c r="G29" i="8"/>
  <c r="G25" i="8"/>
  <c r="E29" i="8"/>
  <c r="G21" i="8"/>
  <c r="E25" i="8"/>
  <c r="G17" i="8"/>
  <c r="E21" i="8"/>
  <c r="G13" i="8"/>
  <c r="E17" i="8"/>
  <c r="G9" i="8"/>
  <c r="F19" i="8"/>
  <c r="E28" i="8"/>
  <c r="E24" i="8"/>
  <c r="E20" i="8"/>
  <c r="E16" i="8"/>
  <c r="E12" i="8"/>
  <c r="E8" i="8"/>
  <c r="F30" i="8"/>
  <c r="F26" i="8"/>
  <c r="F22" i="8"/>
  <c r="F18" i="8"/>
  <c r="F14" i="8"/>
  <c r="F10" i="8"/>
  <c r="F6" i="8"/>
  <c r="G28" i="8"/>
  <c r="G24" i="8"/>
  <c r="G20" i="8"/>
  <c r="G16" i="8"/>
  <c r="G12" i="8"/>
  <c r="G8" i="8"/>
  <c r="F5" i="8"/>
  <c r="F23" i="8"/>
  <c r="F11" i="8"/>
  <c r="F7" i="8"/>
  <c r="E5" i="8"/>
  <c r="E27" i="8"/>
  <c r="E23" i="8"/>
  <c r="E19" i="8"/>
  <c r="E15" i="8"/>
  <c r="E11" i="8"/>
  <c r="E7" i="8"/>
  <c r="F29" i="8"/>
  <c r="F25" i="8"/>
  <c r="F21" i="8"/>
  <c r="F17" i="8"/>
  <c r="F13" i="8"/>
  <c r="F9" i="8"/>
  <c r="G5" i="8"/>
  <c r="G27" i="8"/>
  <c r="G23" i="8"/>
  <c r="G19" i="8"/>
  <c r="G15" i="8"/>
  <c r="G11" i="8"/>
  <c r="G7" i="8"/>
  <c r="F27" i="8"/>
  <c r="F15" i="8"/>
  <c r="E30" i="8"/>
  <c r="E26" i="8"/>
  <c r="E22" i="8"/>
  <c r="E18" i="8"/>
  <c r="E14" i="8"/>
  <c r="E10" i="8"/>
  <c r="F28" i="8"/>
  <c r="F24" i="8"/>
  <c r="F20" i="8"/>
  <c r="F16" i="8"/>
  <c r="F12" i="8"/>
  <c r="G30" i="8"/>
  <c r="G26" i="8"/>
  <c r="G22" i="8"/>
  <c r="G18" i="8"/>
  <c r="G14" i="8"/>
  <c r="G10" i="8"/>
  <c r="AE38" i="13"/>
  <c r="AE33" i="13"/>
  <c r="AE34" i="13"/>
  <c r="AE35" i="13"/>
  <c r="AE36" i="13"/>
  <c r="AE37" i="13"/>
</calcChain>
</file>

<file path=xl/sharedStrings.xml><?xml version="1.0" encoding="utf-8"?>
<sst xmlns="http://schemas.openxmlformats.org/spreadsheetml/2006/main" count="2149" uniqueCount="119">
  <si>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</si>
  <si>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</si>
  <si>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</si>
  <si>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</si>
  <si>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</si>
  <si>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</si>
  <si>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</si>
  <si>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</si>
  <si>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</si>
  <si>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</si>
  <si>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</si>
  <si>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</si>
  <si>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</si>
  <si>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</si>
  <si>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</si>
  <si>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</si>
  <si>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</si>
  <si>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</si>
  <si>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</si>
  <si>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</si>
  <si>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</si>
  <si>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</si>
  <si>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</si>
  <si>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</si>
  <si>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</si>
  <si>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</si>
  <si>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</si>
  <si>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</si>
  <si>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</si>
  <si>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</si>
  <si>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</si>
  <si>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</si>
  <si>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</si>
  <si>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</si>
  <si>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</si>
  <si>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</si>
  <si>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</si>
  <si>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</si>
  <si>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</si>
  <si>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</si>
  <si>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</si>
  <si>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</si>
  <si>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</si>
  <si>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</si>
  <si>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</si>
  <si>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</si>
  <si>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</si>
  <si>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</si>
  <si>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Food</t>
  </si>
  <si>
    <t>Apparels</t>
  </si>
  <si>
    <t>Utilities</t>
  </si>
  <si>
    <t>Personal Care</t>
  </si>
  <si>
    <t>Amenities</t>
  </si>
  <si>
    <t>Assorted</t>
  </si>
  <si>
    <t>Latest Month Data</t>
  </si>
  <si>
    <t>Year_2023</t>
  </si>
  <si>
    <t>Month_May</t>
  </si>
  <si>
    <t>Percentage in Respect to Total</t>
  </si>
  <si>
    <t xml:space="preserve">Rural </t>
  </si>
  <si>
    <t>Total</t>
  </si>
  <si>
    <t>Eatables</t>
  </si>
  <si>
    <t>Interpretation</t>
  </si>
  <si>
    <r>
      <t>1:- Th</t>
    </r>
    <r>
      <rPr>
        <b/>
        <sz val="11"/>
        <color theme="1"/>
        <rFont val="Calibri"/>
        <family val="2"/>
        <scheme val="minor"/>
      </rPr>
      <t xml:space="preserve">e CPI inflation based on latest months (Jan 23 to may 23) data in all the </t>
    </r>
    <r>
      <rPr>
        <b/>
        <sz val="11"/>
        <color rgb="FFFF0000"/>
        <rFont val="Calibri"/>
        <family val="2"/>
        <scheme val="minor"/>
      </rPr>
      <t>sectors</t>
    </r>
    <r>
      <rPr>
        <b/>
        <sz val="11"/>
        <color theme="1"/>
        <rFont val="Calibri"/>
        <family val="2"/>
        <scheme val="minor"/>
      </rPr>
      <t xml:space="preserve"> of Eatables category</t>
    </r>
    <r>
      <rPr>
        <b/>
        <sz val="11"/>
        <color rgb="FFFF0000"/>
        <rFont val="Calibri"/>
        <family val="2"/>
        <scheme val="minor"/>
      </rPr>
      <t xml:space="preserve"> is close to 48%.</t>
    </r>
    <r>
      <rPr>
        <b/>
        <sz val="11"/>
        <color theme="1"/>
        <rFont val="Calibri"/>
        <family val="2"/>
        <scheme val="minor"/>
      </rPr>
      <t xml:space="preserve"> </t>
    </r>
  </si>
  <si>
    <t>2:- This indicates a sharp rise in price over the first quarter especially in Eatables category.</t>
  </si>
  <si>
    <t>3:- The increased inflation rate may be due to weather, supply chain, fuel price hike, input cost, demand and taxation.</t>
  </si>
  <si>
    <t>4:- The food inflation affects everyone but mostly affect poor and low income household, middle class, food business.</t>
  </si>
  <si>
    <t>5:-It increases poverty and reduce nutrition, the government needs to act on it efficiently.</t>
  </si>
  <si>
    <t>6:-The government may take action in order to reduce import duties to lower the cost price and increase the number of cold storage houses to preserve the food effectively.</t>
  </si>
  <si>
    <t xml:space="preserve"> Y-O-Y  CPI Growth from 2017</t>
  </si>
  <si>
    <t>Sum of General index</t>
  </si>
  <si>
    <t>Grand Total</t>
  </si>
  <si>
    <t>Row labels</t>
  </si>
  <si>
    <t>Y-o-Y Inflation</t>
  </si>
  <si>
    <t>INTERPRETATION</t>
  </si>
  <si>
    <t>Year from 2019-2022 Shows the Heighest Inflation</t>
  </si>
  <si>
    <t xml:space="preserve">The spike aligns with:COVID-19 supply chain disruptions,Fuel price increases </t>
  </si>
  <si>
    <t>Analysis for 12 Months ending on May 2023(Sector- Rural+Urban)</t>
  </si>
  <si>
    <t>Year on Year Inflation</t>
  </si>
  <si>
    <t>Month on Month Inflation Rate on Eatables Category</t>
  </si>
  <si>
    <t>Months</t>
  </si>
  <si>
    <t>Rate of Inflation</t>
  </si>
  <si>
    <t>Highest</t>
  </si>
  <si>
    <t>:- The CPI inflation data in rural+urban sector  June-2022 inflation rate is highest (1.03%)</t>
  </si>
  <si>
    <t xml:space="preserve">    and February-2023 inflation rate is lowest (-0.59%) .</t>
  </si>
  <si>
    <t>Lowest</t>
  </si>
  <si>
    <t>Absolute Changes in Inflation on Eatables Category</t>
  </si>
  <si>
    <t>:- The CPI inflation (in individual Eatables Category) data in rural+urban sector Spices Category inflation rate is highest (17.90%)</t>
  </si>
  <si>
    <t xml:space="preserve">    and Oil &amp; Fats Category inflation rate is lowest (-16.01%).</t>
  </si>
  <si>
    <t>Inflation is volatile indicating seasonal constraints and weather dispensiceries</t>
  </si>
  <si>
    <t>Impact of COVID-19 Pandemic on Inflation Rate(Sector- Rural+Urban)</t>
  </si>
  <si>
    <t>Onset of Pandemic</t>
  </si>
  <si>
    <t>Inflation Rate%</t>
  </si>
  <si>
    <t xml:space="preserve">1. The CPI inflation (Before March-2020) data in rural+urban sector Eatables Category inflation rate in (7.52%). </t>
  </si>
  <si>
    <t>2. The increased inflation rate may be due to weather, supply chain, fuel price hike, input cost, demand and taxation.</t>
  </si>
  <si>
    <t>3.It increases poverty and reduce nutrition, the government needs to act on it efficiently.</t>
  </si>
  <si>
    <t>4.The government may take action in order to reduce import duties to lower the cost price and increase the number of cold storage houses to preserve the food effectively.</t>
  </si>
  <si>
    <t>Post Pandemic</t>
  </si>
  <si>
    <t>Inflation Rate %</t>
  </si>
  <si>
    <r>
      <rPr>
        <b/>
        <sz val="11"/>
        <color rgb="FF000000"/>
        <rFont val="Calibri"/>
      </rPr>
      <t>1. The CPI inflation (post March-2020) data in rural+urban sector</t>
    </r>
    <r>
      <rPr>
        <sz val="11"/>
        <color rgb="FFFF0000"/>
        <rFont val="Calibri"/>
      </rPr>
      <t xml:space="preserve"> Assorted Category</t>
    </r>
    <r>
      <rPr>
        <b/>
        <sz val="11"/>
        <color rgb="FF000000"/>
        <rFont val="Calibri"/>
      </rPr>
      <t xml:space="preserve"> inflation rate in (8.48%). </t>
    </r>
  </si>
  <si>
    <t>2. The increased inflation rate may be because of restriction free consumption, peer pressure, depression and anxiety post Pandemic.</t>
  </si>
  <si>
    <t>3.The government may take action to reduce the usage of these stuffs by increasing taxes, raising awareness, strict Regulation formulation.</t>
  </si>
  <si>
    <t>Impact of Imported Oil Price on Inflation Rates(Sector-Rural+Urban)</t>
  </si>
  <si>
    <t>Correlation</t>
  </si>
  <si>
    <t>Crude Oil Price</t>
  </si>
  <si>
    <t>Most Positively Affected</t>
  </si>
  <si>
    <t>Negatively Affected</t>
  </si>
  <si>
    <r>
      <t>1. The CPI inflation data in rural+urban sector</t>
    </r>
    <r>
      <rPr>
        <b/>
        <sz val="11"/>
        <color rgb="FFFF330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 Crude oil price change with high change</t>
    </r>
  </si>
  <si>
    <r>
      <t xml:space="preserve"> the </t>
    </r>
    <r>
      <rPr>
        <b/>
        <sz val="11"/>
        <color rgb="FFFF0000"/>
        <rFont val="Calibri"/>
        <family val="2"/>
        <scheme val="minor"/>
      </rPr>
      <t>inflation Meat and Fish Category(0.79%)</t>
    </r>
    <r>
      <rPr>
        <b/>
        <sz val="11"/>
        <color theme="1"/>
        <rFont val="Calibri"/>
        <family val="2"/>
        <scheme val="minor"/>
      </rPr>
      <t xml:space="preserve"> as compare to other categorise. </t>
    </r>
  </si>
  <si>
    <r>
      <t xml:space="preserve"> 2.The crude oil price change with second high change the inflation </t>
    </r>
    <r>
      <rPr>
        <b/>
        <sz val="11"/>
        <color rgb="FFFF0000"/>
        <rFont val="Calibri"/>
        <family val="2"/>
        <scheme val="minor"/>
      </rPr>
      <t xml:space="preserve">Transport </t>
    </r>
    <r>
      <rPr>
        <b/>
        <sz val="11"/>
        <color theme="1"/>
        <rFont val="Calibri"/>
        <family val="2"/>
        <scheme val="minor"/>
      </rPr>
      <t xml:space="preserve">       </t>
    </r>
  </si>
  <si>
    <r>
      <rPr>
        <b/>
        <sz val="11"/>
        <color rgb="FFFF0000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Communication Category (0.78%).</t>
    </r>
    <r>
      <rPr>
        <b/>
        <sz val="11"/>
        <color theme="1"/>
        <rFont val="Calibri"/>
        <family val="2"/>
        <scheme val="minor"/>
      </rPr>
      <t xml:space="preserve"> </t>
    </r>
  </si>
  <si>
    <t>RECOMANDATION</t>
  </si>
  <si>
    <r>
      <rPr>
        <sz val="11"/>
        <color rgb="FF000000"/>
        <rFont val="Calibri"/>
        <scheme val="minor"/>
      </rPr>
      <t xml:space="preserve">Food &amp; beverages contribute the </t>
    </r>
    <r>
      <rPr>
        <b/>
        <sz val="11"/>
        <color rgb="FF000000"/>
        <rFont val="Calibri"/>
        <scheme val="minor"/>
      </rPr>
      <t xml:space="preserve">largest share to CPI   </t>
    </r>
  </si>
  <si>
    <t>:- Expand buffer stock management for cereals and pulses</t>
  </si>
  <si>
    <t>Improve cold storage and warehousing for perishable food items</t>
  </si>
  <si>
    <t>Reduce inter-state movement restrictions during supply shocks</t>
  </si>
  <si>
    <t>Strong correlation between imported crude oil prices and CPI</t>
  </si>
  <si>
    <t>:-Create a fuel price smoothing fund,Adjust excise duties dynamically during global oil shocks</t>
  </si>
  <si>
    <t>Healthcare inflation increased post-COVID</t>
  </si>
  <si>
    <t>:Monitor private healthcare pricing,Expand public healthcare capacity,Promote generic medicine 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</si>
</sst>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u/>
      <sz val="14"/>
      <color theme="1"/>
      <name val="Algerian"/>
      <family val="5"/>
    </font>
    <font>
      <sz val="10"/>
      <color theme="1"/>
      <name val="Arial Black"/>
      <family val="2"/>
    </font>
    <font>
      <sz val="11"/>
      <color theme="8" tint="-0.249977111117893"/>
      <name val="Calibri"/>
      <family val="2"/>
      <scheme val="minor"/>
    </font>
    <font>
      <sz val="11"/>
      <color theme="1"/>
      <name val="Algerian"/>
      <family val="5"/>
    </font>
    <font>
      <sz val="16"/>
      <color theme="1"/>
      <name val="Algerian"/>
      <family val="5"/>
    </font>
    <font>
      <b/>
      <sz val="11"/>
      <color theme="9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8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7FB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6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10" xfId="0" applyBorder="1"/>
    <xf numFmtId="164" fontId="0" fillId="36" borderId="10" xfId="0" applyNumberFormat="1" applyFill="1" applyBorder="1"/>
    <xf numFmtId="164" fontId="0" fillId="36" borderId="11" xfId="0" applyNumberFormat="1" applyFill="1" applyBorder="1"/>
    <xf numFmtId="0" fontId="0" fillId="35" borderId="10" xfId="0" applyFill="1" applyBorder="1"/>
    <xf numFmtId="0" fontId="0" fillId="33" borderId="10" xfId="0" applyFill="1" applyBorder="1"/>
    <xf numFmtId="0" fontId="0" fillId="34" borderId="10" xfId="0" applyFill="1" applyBorder="1"/>
    <xf numFmtId="0" fontId="18" fillId="0" borderId="10" xfId="0" applyFont="1" applyBorder="1"/>
    <xf numFmtId="0" fontId="14" fillId="0" borderId="10" xfId="0" applyFont="1" applyBorder="1"/>
    <xf numFmtId="0" fontId="19" fillId="0" borderId="10" xfId="0" applyFont="1" applyBorder="1"/>
    <xf numFmtId="0" fontId="19" fillId="0" borderId="12" xfId="0" applyFont="1" applyBorder="1" applyAlignment="1">
      <alignment horizontal="center"/>
    </xf>
    <xf numFmtId="0" fontId="19" fillId="0" borderId="11" xfId="0" applyFont="1" applyBorder="1"/>
    <xf numFmtId="0" fontId="19" fillId="0" borderId="12" xfId="0" applyFont="1" applyBorder="1"/>
    <xf numFmtId="0" fontId="14" fillId="0" borderId="14" xfId="0" applyFont="1" applyBorder="1"/>
    <xf numFmtId="0" fontId="20" fillId="0" borderId="0" xfId="0" applyFont="1"/>
    <xf numFmtId="0" fontId="0" fillId="37" borderId="10" xfId="0" applyFill="1" applyBorder="1"/>
    <xf numFmtId="0" fontId="0" fillId="38" borderId="10" xfId="0" applyFill="1" applyBorder="1"/>
    <xf numFmtId="0" fontId="18" fillId="0" borderId="13" xfId="0" applyFont="1" applyBorder="1" applyAlignment="1">
      <alignment wrapText="1"/>
    </xf>
    <xf numFmtId="0" fontId="16" fillId="0" borderId="0" xfId="0" applyFont="1"/>
    <xf numFmtId="0" fontId="21" fillId="0" borderId="0" xfId="0" applyFont="1"/>
    <xf numFmtId="0" fontId="24" fillId="0" borderId="0" xfId="0" applyFont="1"/>
    <xf numFmtId="0" fontId="0" fillId="42" borderId="10" xfId="0" applyFill="1" applyBorder="1"/>
    <xf numFmtId="0" fontId="0" fillId="43" borderId="10" xfId="0" applyFill="1" applyBorder="1"/>
    <xf numFmtId="0" fontId="0" fillId="40" borderId="10" xfId="0" applyFill="1" applyBorder="1"/>
    <xf numFmtId="0" fontId="22" fillId="0" borderId="10" xfId="0" applyFont="1" applyBorder="1"/>
    <xf numFmtId="0" fontId="22" fillId="0" borderId="10" xfId="0" applyFont="1" applyBorder="1" applyAlignment="1">
      <alignment wrapText="1"/>
    </xf>
    <xf numFmtId="2" fontId="0" fillId="35" borderId="10" xfId="0" applyNumberFormat="1" applyFill="1" applyBorder="1"/>
    <xf numFmtId="0" fontId="25" fillId="0" borderId="10" xfId="0" applyFont="1" applyBorder="1"/>
    <xf numFmtId="0" fontId="25" fillId="0" borderId="10" xfId="0" applyFont="1" applyBorder="1" applyAlignment="1">
      <alignment wrapText="1"/>
    </xf>
    <xf numFmtId="0" fontId="0" fillId="44" borderId="10" xfId="0" applyFill="1" applyBorder="1"/>
    <xf numFmtId="2" fontId="0" fillId="33" borderId="10" xfId="0" applyNumberFormat="1" applyFill="1" applyBorder="1"/>
    <xf numFmtId="2" fontId="0" fillId="36" borderId="10" xfId="0" applyNumberFormat="1" applyFill="1" applyBorder="1"/>
    <xf numFmtId="0" fontId="26" fillId="0" borderId="10" xfId="0" applyFont="1" applyBorder="1"/>
    <xf numFmtId="0" fontId="26" fillId="0" borderId="10" xfId="0" applyFont="1" applyBorder="1" applyAlignment="1">
      <alignment wrapText="1"/>
    </xf>
    <xf numFmtId="0" fontId="23" fillId="0" borderId="0" xfId="0" applyFont="1"/>
    <xf numFmtId="0" fontId="27" fillId="41" borderId="0" xfId="0" applyFont="1" applyFill="1"/>
    <xf numFmtId="0" fontId="0" fillId="45" borderId="10" xfId="0" applyFill="1" applyBorder="1"/>
    <xf numFmtId="0" fontId="0" fillId="46" borderId="10" xfId="0" applyFill="1" applyBorder="1"/>
    <xf numFmtId="0" fontId="28" fillId="47" borderId="10" xfId="0" applyFont="1" applyFill="1" applyBorder="1"/>
    <xf numFmtId="0" fontId="28" fillId="47" borderId="10" xfId="0" applyFont="1" applyFill="1" applyBorder="1" applyAlignment="1">
      <alignment horizontal="center" wrapText="1"/>
    </xf>
    <xf numFmtId="0" fontId="0" fillId="39" borderId="10" xfId="0" applyFill="1" applyBorder="1"/>
    <xf numFmtId="2" fontId="0" fillId="39" borderId="10" xfId="0" applyNumberFormat="1" applyFill="1" applyBorder="1"/>
    <xf numFmtId="0" fontId="28" fillId="47" borderId="10" xfId="0" applyFont="1" applyFill="1" applyBorder="1" applyAlignment="1">
      <alignment wrapText="1"/>
    </xf>
    <xf numFmtId="0" fontId="28" fillId="48" borderId="10" xfId="0" applyFont="1" applyFill="1" applyBorder="1"/>
    <xf numFmtId="0" fontId="0" fillId="36" borderId="10" xfId="0" applyFill="1" applyBorder="1"/>
    <xf numFmtId="49" fontId="0" fillId="49" borderId="10" xfId="0" applyNumberFormat="1" applyFill="1" applyBorder="1" applyAlignment="1">
      <alignment horizontal="center"/>
    </xf>
    <xf numFmtId="49" fontId="0" fillId="36" borderId="10" xfId="0" applyNumberFormat="1" applyFill="1" applyBorder="1" applyAlignment="1">
      <alignment horizontal="center"/>
    </xf>
    <xf numFmtId="0" fontId="29" fillId="50" borderId="10" xfId="0" applyFont="1" applyFill="1" applyBorder="1"/>
    <xf numFmtId="0" fontId="0" fillId="51" borderId="10" xfId="0" applyFill="1" applyBorder="1"/>
    <xf numFmtId="0" fontId="0" fillId="52" borderId="10" xfId="0" applyFill="1" applyBorder="1"/>
    <xf numFmtId="0" fontId="0" fillId="48" borderId="10" xfId="0" applyFill="1" applyBorder="1"/>
    <xf numFmtId="0" fontId="30" fillId="0" borderId="10" xfId="0" applyFont="1" applyBorder="1"/>
    <xf numFmtId="0" fontId="31" fillId="0" borderId="12" xfId="0" applyFont="1" applyBorder="1"/>
    <xf numFmtId="0" fontId="32" fillId="0" borderId="0" xfId="0" applyFont="1"/>
    <xf numFmtId="0" fontId="0" fillId="38" borderId="0" xfId="0" applyFill="1" applyBorder="1"/>
    <xf numFmtId="0" fontId="0" fillId="38" borderId="0" xfId="0" applyFill="1"/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left"/>
    </xf>
    <xf numFmtId="14" fontId="0" fillId="0" borderId="0" xfId="0" applyNumberFormat="1"/>
    <xf numFmtId="164" fontId="0" fillId="34" borderId="0" xfId="0" applyNumberFormat="1" applyFill="1"/>
    <xf numFmtId="164" fontId="0" fillId="0" borderId="0" xfId="0" applyNumberFormat="1"/>
    <xf numFmtId="0" fontId="0" fillId="0" borderId="0" xfId="0" applyAlignment="1">
      <alignment wrapText="1"/>
    </xf>
    <xf numFmtId="14" fontId="35" fillId="0" borderId="0" xfId="0" applyNumberFormat="1" applyFont="1"/>
    <xf numFmtId="3" fontId="0" fillId="0" borderId="0" xfId="0" applyNumberFormat="1"/>
    <xf numFmtId="3" fontId="0" fillId="34" borderId="0" xfId="0" applyNumberFormat="1" applyFill="1"/>
    <xf numFmtId="0" fontId="38" fillId="0" borderId="0" xfId="0" applyFont="1"/>
    <xf numFmtId="0" fontId="0" fillId="0" borderId="0" xfId="0" pivotButton="1"/>
    <xf numFmtId="0" fontId="0" fillId="0" borderId="0" xfId="0" applyNumberFormat="1"/>
    <xf numFmtId="0" fontId="0" fillId="38" borderId="15" xfId="0" applyFill="1" applyBorder="1"/>
    <xf numFmtId="0" fontId="0" fillId="0" borderId="15" xfId="0" applyBorder="1"/>
    <xf numFmtId="0" fontId="16" fillId="0" borderId="15" xfId="0" applyFont="1" applyBorder="1"/>
    <xf numFmtId="165" fontId="16" fillId="0" borderId="15" xfId="0" applyNumberFormat="1" applyFont="1" applyBorder="1"/>
    <xf numFmtId="0" fontId="0" fillId="53" borderId="15" xfId="0" applyFont="1" applyFill="1" applyBorder="1"/>
    <xf numFmtId="0" fontId="0" fillId="54" borderId="15" xfId="0" applyFill="1" applyBorder="1"/>
    <xf numFmtId="2" fontId="0" fillId="54" borderId="15" xfId="0" applyNumberFormat="1" applyFill="1" applyBorder="1"/>
    <xf numFmtId="164" fontId="0" fillId="54" borderId="15" xfId="0" applyNumberFormat="1" applyFill="1" applyBorder="1"/>
    <xf numFmtId="0" fontId="39" fillId="0" borderId="0" xfId="0" applyFont="1"/>
    <xf numFmtId="0" fontId="0" fillId="46" borderId="0" xfId="0" applyFill="1"/>
    <xf numFmtId="0" fontId="16" fillId="0" borderId="0" xfId="0" applyFont="1" applyAlignment="1">
      <alignment wrapText="1"/>
    </xf>
    <xf numFmtId="0" fontId="40" fillId="46" borderId="0" xfId="0" applyFont="1" applyFill="1"/>
    <xf numFmtId="0" fontId="41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16" fillId="5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27FB1"/>
      <color rgb="FFFF99FF"/>
      <color rgb="FF66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45-40C8-A7EC-560A43171502}"/>
              </c:ext>
            </c:extLst>
          </c:dPt>
          <c:dPt>
            <c:idx val="1"/>
            <c:bubble3D val="0"/>
            <c:explosion val="1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49-41A3-A610-4C971F636E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45-40C8-A7EC-560A4317150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45-40C8-A7EC-560A4317150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45-40C8-A7EC-560A4317150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B45-40C8-A7EC-560A4317150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B45-40C8-A7EC-560A431715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(PS_1!$A$31,PS_1!$A$33:$A$38)</c:f>
              <c:strCache>
                <c:ptCount val="7"/>
                <c:pt idx="0">
                  <c:v>General index</c:v>
                </c:pt>
                <c:pt idx="1">
                  <c:v>Eatables</c:v>
                </c:pt>
                <c:pt idx="2">
                  <c:v>Apparels</c:v>
                </c:pt>
                <c:pt idx="3">
                  <c:v>Utilities</c:v>
                </c:pt>
                <c:pt idx="4">
                  <c:v>Personal Care</c:v>
                </c:pt>
                <c:pt idx="5">
                  <c:v>Amenities</c:v>
                </c:pt>
                <c:pt idx="6">
                  <c:v>Assorted</c:v>
                </c:pt>
              </c:strCache>
            </c:strRef>
          </c:cat>
          <c:val>
            <c:numRef>
              <c:f>(PS_1!$E$31,PS_1!$E$33:$E$38)</c:f>
              <c:numCache>
                <c:formatCode>0.0</c:formatCode>
                <c:ptCount val="7"/>
                <c:pt idx="0">
                  <c:v>3.7040088995097022</c:v>
                </c:pt>
                <c:pt idx="1">
                  <c:v>47.190062214165039</c:v>
                </c:pt>
                <c:pt idx="2">
                  <c:v>11.740348564130032</c:v>
                </c:pt>
                <c:pt idx="3">
                  <c:v>10.790655514811913</c:v>
                </c:pt>
                <c:pt idx="4">
                  <c:v>7.6778871904742276</c:v>
                </c:pt>
                <c:pt idx="5">
                  <c:v>11.081125623171687</c:v>
                </c:pt>
                <c:pt idx="6">
                  <c:v>7.8159119937373802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9-41A3-A610-4C971F636E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2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Sector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77-4EAC-AA33-875031181C47}"/>
              </c:ext>
            </c:extLst>
          </c:dPt>
          <c:dPt>
            <c:idx val="1"/>
            <c:bubble3D val="0"/>
            <c:explosion val="1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B1-44D8-BF02-243E37CA56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77-4EAC-AA33-875031181C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77-4EAC-AA33-875031181C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DB1-44D8-BF02-243E37CA56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677-4EAC-AA33-875031181C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677-4EAC-AA33-875031181C4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(PS_1!$A$31,PS_1!$A$33:$A$38)</c:f>
              <c:strCache>
                <c:ptCount val="7"/>
                <c:pt idx="0">
                  <c:v>General index</c:v>
                </c:pt>
                <c:pt idx="1">
                  <c:v>Eatables</c:v>
                </c:pt>
                <c:pt idx="2">
                  <c:v>Apparels</c:v>
                </c:pt>
                <c:pt idx="3">
                  <c:v>Utilities</c:v>
                </c:pt>
                <c:pt idx="4">
                  <c:v>Personal Care</c:v>
                </c:pt>
                <c:pt idx="5">
                  <c:v>Amenities</c:v>
                </c:pt>
                <c:pt idx="6">
                  <c:v>Assorted</c:v>
                </c:pt>
              </c:strCache>
            </c:strRef>
          </c:cat>
          <c:val>
            <c:numRef>
              <c:f>(PS_1!$F$31,PS_1!$F$33:$F$38)</c:f>
              <c:numCache>
                <c:formatCode>0.0</c:formatCode>
                <c:ptCount val="7"/>
                <c:pt idx="0">
                  <c:v>3.6977858936315902</c:v>
                </c:pt>
                <c:pt idx="1">
                  <c:v>48.455105725135397</c:v>
                </c:pt>
                <c:pt idx="2">
                  <c:v>10.970928181610674</c:v>
                </c:pt>
                <c:pt idx="3">
                  <c:v>10.466684650660913</c:v>
                </c:pt>
                <c:pt idx="4">
                  <c:v>7.6321304807951673</c:v>
                </c:pt>
                <c:pt idx="5">
                  <c:v>10.979228486646884</c:v>
                </c:pt>
                <c:pt idx="6">
                  <c:v>7.7981365815193691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1-44D8-BF02-243E37CA567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Rural+Urban Sector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5D-4743-B535-B307BA705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5D-4743-B535-B307BA705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5D-4743-B535-B307BA7051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5D-4743-B535-B307BA7051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75D-4743-B535-B307BA7051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75D-4743-B535-B307BA7051B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75D-4743-B535-B307BA7051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(PS_1!$A$31,PS_1!$A$33:$A$38)</c:f>
              <c:strCache>
                <c:ptCount val="7"/>
                <c:pt idx="0">
                  <c:v>General index</c:v>
                </c:pt>
                <c:pt idx="1">
                  <c:v>Eatables</c:v>
                </c:pt>
                <c:pt idx="2">
                  <c:v>Apparels</c:v>
                </c:pt>
                <c:pt idx="3">
                  <c:v>Utilities</c:v>
                </c:pt>
                <c:pt idx="4">
                  <c:v>Personal Care</c:v>
                </c:pt>
                <c:pt idx="5">
                  <c:v>Amenities</c:v>
                </c:pt>
                <c:pt idx="6">
                  <c:v>Assorted</c:v>
                </c:pt>
              </c:strCache>
            </c:strRef>
          </c:cat>
          <c:val>
            <c:numRef>
              <c:f>(PS_1!$G$31,PS_1!$G$33:$G$38)</c:f>
              <c:numCache>
                <c:formatCode>0.0</c:formatCode>
                <c:ptCount val="7"/>
                <c:pt idx="0">
                  <c:v>3.7053894693286438</c:v>
                </c:pt>
                <c:pt idx="1">
                  <c:v>47.727319747594912</c:v>
                </c:pt>
                <c:pt idx="2">
                  <c:v>11.445122581979932</c:v>
                </c:pt>
                <c:pt idx="3">
                  <c:v>10.615496017378709</c:v>
                </c:pt>
                <c:pt idx="4">
                  <c:v>7.6735284990172747</c:v>
                </c:pt>
                <c:pt idx="5">
                  <c:v>11.039619323471603</c:v>
                </c:pt>
                <c:pt idx="6">
                  <c:v>7.7935243612289238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B-4998-8423-54008B7896E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 Inflation on Monthly</a:t>
            </a:r>
            <a:r>
              <a:rPr lang="en-US" baseline="0"/>
              <a:t> </a:t>
            </a:r>
            <a:r>
              <a:rPr lang="en-US"/>
              <a:t>Basis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PS_3!$A$42:$A$53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PS_3!$B$42:$B$53</c:f>
              <c:numCache>
                <c:formatCode>0.00</c:formatCode>
                <c:ptCount val="12"/>
                <c:pt idx="0">
                  <c:v>1.0272901871454732</c:v>
                </c:pt>
                <c:pt idx="1">
                  <c:v>0.19452672531942572</c:v>
                </c:pt>
                <c:pt idx="2">
                  <c:v>0.12796187618587765</c:v>
                </c:pt>
                <c:pt idx="3">
                  <c:v>0.51560021152826363</c:v>
                </c:pt>
                <c:pt idx="4">
                  <c:v>0.71901442413080963</c:v>
                </c:pt>
                <c:pt idx="5">
                  <c:v>-2.1764680276826941E-2</c:v>
                </c:pt>
                <c:pt idx="6">
                  <c:v>-0.58342041100664155</c:v>
                </c:pt>
                <c:pt idx="7">
                  <c:v>0.40728737847072949</c:v>
                </c:pt>
                <c:pt idx="8">
                  <c:v>-0.5931870720111817</c:v>
                </c:pt>
                <c:pt idx="9">
                  <c:v>4.3876968978943031E-3</c:v>
                </c:pt>
                <c:pt idx="10">
                  <c:v>0.45630045630048033</c:v>
                </c:pt>
                <c:pt idx="11">
                  <c:v>0.75559049615652185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E-40F1-9156-AED3D03BA9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1457056"/>
        <c:axId val="291460896"/>
      </c:lineChart>
      <c:catAx>
        <c:axId val="2914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60896"/>
        <c:crosses val="autoZero"/>
        <c:auto val="1"/>
        <c:lblAlgn val="ctr"/>
        <c:lblOffset val="100"/>
        <c:noMultiLvlLbl val="0"/>
      </c:catAx>
      <c:valAx>
        <c:axId val="2914608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914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Rate of Inflation of each</a:t>
            </a:r>
            <a:r>
              <a:rPr lang="en-US" baseline="0"/>
              <a:t> Element of Eatables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PS_3!$B$58</c:f>
              <c:strCache>
                <c:ptCount val="1"/>
                <c:pt idx="0">
                  <c:v>Rate of Inflation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PS_3!$A$59:$A$71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PS_3!$B$59:$B$71</c:f>
              <c:numCache>
                <c:formatCode>0.00</c:formatCode>
                <c:ptCount val="13"/>
                <c:pt idx="0">
                  <c:v>12.719013627514597</c:v>
                </c:pt>
                <c:pt idx="1">
                  <c:v>-1.2442396313364004</c:v>
                </c:pt>
                <c:pt idx="2">
                  <c:v>6.6502463054187082</c:v>
                </c:pt>
                <c:pt idx="3">
                  <c:v>8.8538508186779836</c:v>
                </c:pt>
                <c:pt idx="4">
                  <c:v>-16.007905138339922</c:v>
                </c:pt>
                <c:pt idx="5">
                  <c:v>0.70175438596490558</c:v>
                </c:pt>
                <c:pt idx="6">
                  <c:v>-7.9473985134362515</c:v>
                </c:pt>
                <c:pt idx="7">
                  <c:v>6.6180935033394093</c:v>
                </c:pt>
                <c:pt idx="8">
                  <c:v>2.5062656641604009</c:v>
                </c:pt>
                <c:pt idx="9">
                  <c:v>17.901568415359652</c:v>
                </c:pt>
                <c:pt idx="10">
                  <c:v>3.7701974865350159</c:v>
                </c:pt>
                <c:pt idx="11">
                  <c:v>6.4109589041095827</c:v>
                </c:pt>
                <c:pt idx="12">
                  <c:v>3.3467974610501918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6-473F-B907-9E26EA95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469536"/>
        <c:axId val="291471936"/>
      </c:barChart>
      <c:catAx>
        <c:axId val="2914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71936"/>
        <c:crosses val="autoZero"/>
        <c:auto val="1"/>
        <c:lblAlgn val="ctr"/>
        <c:lblOffset val="100"/>
        <c:noMultiLvlLbl val="0"/>
      </c:catAx>
      <c:valAx>
        <c:axId val="2914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6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Onset</a:t>
            </a:r>
            <a:r>
              <a:rPr lang="en-US" baseline="0"/>
              <a:t> of </a:t>
            </a:r>
            <a:r>
              <a:rPr lang="en-US"/>
              <a:t>Pandemic Inflation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PS_4!$A$33:$A$39</c:f>
              <c:strCache>
                <c:ptCount val="7"/>
                <c:pt idx="0">
                  <c:v>General index</c:v>
                </c:pt>
                <c:pt idx="1">
                  <c:v>Eatables</c:v>
                </c:pt>
                <c:pt idx="2">
                  <c:v>Apparels</c:v>
                </c:pt>
                <c:pt idx="3">
                  <c:v>Utilities</c:v>
                </c:pt>
                <c:pt idx="4">
                  <c:v>Personal Care</c:v>
                </c:pt>
                <c:pt idx="5">
                  <c:v>Amenities</c:v>
                </c:pt>
                <c:pt idx="6">
                  <c:v>Assorted</c:v>
                </c:pt>
              </c:strCache>
            </c:strRef>
          </c:cat>
          <c:val>
            <c:numRef>
              <c:f>PS_4!$N$33:$N$39</c:f>
              <c:numCache>
                <c:formatCode>0.00</c:formatCode>
                <c:ptCount val="7"/>
                <c:pt idx="0">
                  <c:v>5.8404558404558315</c:v>
                </c:pt>
                <c:pt idx="1">
                  <c:v>7.5160247319757216</c:v>
                </c:pt>
                <c:pt idx="2">
                  <c:v>1.9332566168009286</c:v>
                </c:pt>
                <c:pt idx="3">
                  <c:v>4.1444498303441648</c:v>
                </c:pt>
                <c:pt idx="4">
                  <c:v>6.4020028612303204</c:v>
                </c:pt>
                <c:pt idx="5">
                  <c:v>3.9999999999999898</c:v>
                </c:pt>
                <c:pt idx="6">
                  <c:v>4.5816733067729123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7-403A-8B83-3AC9FFD4E0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91473856"/>
        <c:axId val="291463776"/>
      </c:barChart>
      <c:catAx>
        <c:axId val="29147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63776"/>
        <c:crosses val="autoZero"/>
        <c:auto val="1"/>
        <c:lblAlgn val="ctr"/>
        <c:lblOffset val="100"/>
        <c:noMultiLvlLbl val="0"/>
      </c:catAx>
      <c:valAx>
        <c:axId val="291463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7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Pandemic Inflation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PS_4!$A$72:$A$78</c:f>
              <c:strCache>
                <c:ptCount val="7"/>
                <c:pt idx="0">
                  <c:v>General index</c:v>
                </c:pt>
                <c:pt idx="1">
                  <c:v>Eatables</c:v>
                </c:pt>
                <c:pt idx="2">
                  <c:v>Apparels</c:v>
                </c:pt>
                <c:pt idx="3">
                  <c:v>Utilities</c:v>
                </c:pt>
                <c:pt idx="4">
                  <c:v>Personal Care</c:v>
                </c:pt>
                <c:pt idx="5">
                  <c:v>Amenities</c:v>
                </c:pt>
                <c:pt idx="6">
                  <c:v>Assorted</c:v>
                </c:pt>
              </c:strCache>
            </c:strRef>
          </c:cat>
          <c:val>
            <c:numRef>
              <c:f>PS_4!$N$72:$N$78</c:f>
              <c:numCache>
                <c:formatCode>0.00</c:formatCode>
                <c:ptCount val="7"/>
                <c:pt idx="0">
                  <c:v>5.3835800807537009</c:v>
                </c:pt>
                <c:pt idx="1">
                  <c:v>7.5920649994724112</c:v>
                </c:pt>
                <c:pt idx="2">
                  <c:v>3.9512305260781213</c:v>
                </c:pt>
                <c:pt idx="3">
                  <c:v>6.1438212706539526</c:v>
                </c:pt>
                <c:pt idx="4">
                  <c:v>6.5882352941176547</c:v>
                </c:pt>
                <c:pt idx="5">
                  <c:v>2.9568697198755158</c:v>
                </c:pt>
                <c:pt idx="6">
                  <c:v>8.4761904761904905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9-48B3-88C1-94BA0683D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91497376"/>
        <c:axId val="291497856"/>
      </c:barChart>
      <c:catAx>
        <c:axId val="2914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97856"/>
        <c:crosses val="autoZero"/>
        <c:auto val="1"/>
        <c:lblAlgn val="ctr"/>
        <c:lblOffset val="100"/>
        <c:noMultiLvlLbl val="0"/>
      </c:catAx>
      <c:valAx>
        <c:axId val="291497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9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PS_5!$A$6</c:f>
              <c:strCache>
                <c:ptCount val="1"/>
                <c:pt idx="0">
                  <c:v>Cereals and 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PS_5!$AE$6</c:f>
              <c:numCache>
                <c:formatCode>0.00</c:formatCode>
                <c:ptCount val="1"/>
                <c:pt idx="0">
                  <c:v>0.43987122593443262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F-445D-9BD5-77A49250BEDA}"/>
            </c:ext>
          </c:extLst>
        </c:ser>
        <c:ser>
          <c:idx val="1"/>
          <c:order val="1"/>
          <c:tx>
            <c:strRef>
              <c:f>PS_5!$A$7</c:f>
              <c:strCache>
                <c:ptCount val="1"/>
                <c:pt idx="0">
                  <c:v>Meat and fish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PS_5!$AE$7</c:f>
              <c:numCache>
                <c:formatCode>0.00</c:formatCode>
                <c:ptCount val="1"/>
                <c:pt idx="0">
                  <c:v>0.79268301824065446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F-445D-9BD5-77A49250BEDA}"/>
            </c:ext>
          </c:extLst>
        </c:ser>
        <c:ser>
          <c:idx val="2"/>
          <c:order val="2"/>
          <c:tx>
            <c:strRef>
              <c:f>PS_5!$A$8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PS_5!$AE$8</c:f>
              <c:numCache>
                <c:formatCode>0.00</c:formatCode>
                <c:ptCount val="1"/>
                <c:pt idx="0">
                  <c:v>-8.3046590697356121E-2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F-445D-9BD5-77A49250BEDA}"/>
            </c:ext>
          </c:extLst>
        </c:ser>
        <c:ser>
          <c:idx val="3"/>
          <c:order val="3"/>
          <c:tx>
            <c:strRef>
              <c:f>PS_5!$A$9</c:f>
              <c:strCache>
                <c:ptCount val="1"/>
                <c:pt idx="0">
                  <c:v>Milk and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PS_5!$AE$9</c:f>
              <c:numCache>
                <c:formatCode>0.00</c:formatCode>
                <c:ptCount val="1"/>
                <c:pt idx="0">
                  <c:v>0.52771328180036647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3F-445D-9BD5-77A49250BEDA}"/>
            </c:ext>
          </c:extLst>
        </c:ser>
        <c:ser>
          <c:idx val="4"/>
          <c:order val="4"/>
          <c:tx>
            <c:strRef>
              <c:f>PS_5!$A$10</c:f>
              <c:strCache>
                <c:ptCount val="1"/>
                <c:pt idx="0">
                  <c:v>Oils and fats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PS_5!$AE$10</c:f>
              <c:numCache>
                <c:formatCode>0.00</c:formatCode>
                <c:ptCount val="1"/>
                <c:pt idx="0">
                  <c:v>0.75142910168854082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3F-445D-9BD5-77A49250BEDA}"/>
            </c:ext>
          </c:extLst>
        </c:ser>
        <c:ser>
          <c:idx val="5"/>
          <c:order val="5"/>
          <c:tx>
            <c:strRef>
              <c:f>PS_5!$A$11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PS_5!$AE$11</c:f>
              <c:numCache>
                <c:formatCode>0.00</c:formatCode>
                <c:ptCount val="1"/>
                <c:pt idx="0">
                  <c:v>0.5253885312081723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3F-445D-9BD5-77A49250BEDA}"/>
            </c:ext>
          </c:extLst>
        </c:ser>
        <c:ser>
          <c:idx val="6"/>
          <c:order val="6"/>
          <c:tx>
            <c:strRef>
              <c:f>PS_5!$A$12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PS_5!$AE$12</c:f>
              <c:numCache>
                <c:formatCode>0.00</c:formatCode>
                <c:ptCount val="1"/>
                <c:pt idx="0">
                  <c:v>0.32872482782704315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F-445D-9BD5-77A49250BEDA}"/>
            </c:ext>
          </c:extLst>
        </c:ser>
        <c:ser>
          <c:idx val="7"/>
          <c:order val="7"/>
          <c:tx>
            <c:strRef>
              <c:f>PS_5!$A$13</c:f>
              <c:strCache>
                <c:ptCount val="1"/>
                <c:pt idx="0">
                  <c:v>Pulses and products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PS_5!$AE$13</c:f>
              <c:numCache>
                <c:formatCode>0.00</c:formatCode>
                <c:ptCount val="1"/>
                <c:pt idx="0">
                  <c:v>0.32248816651061057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3F-445D-9BD5-77A49250BEDA}"/>
            </c:ext>
          </c:extLst>
        </c:ser>
        <c:ser>
          <c:idx val="8"/>
          <c:order val="8"/>
          <c:tx>
            <c:strRef>
              <c:f>PS_5!$A$14</c:f>
              <c:strCache>
                <c:ptCount val="1"/>
                <c:pt idx="0">
                  <c:v>Sugar and Confectionery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PS_5!$AE$14</c:f>
              <c:numCache>
                <c:formatCode>0.00</c:formatCode>
                <c:ptCount val="1"/>
                <c:pt idx="0">
                  <c:v>0.60891818986860835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3F-445D-9BD5-77A49250BEDA}"/>
            </c:ext>
          </c:extLst>
        </c:ser>
        <c:ser>
          <c:idx val="9"/>
          <c:order val="9"/>
          <c:tx>
            <c:strRef>
              <c:f>PS_5!$A$15</c:f>
              <c:strCache>
                <c:ptCount val="1"/>
                <c:pt idx="0">
                  <c:v>Spices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PS_5!$AE$15</c:f>
              <c:numCache>
                <c:formatCode>0.00</c:formatCode>
                <c:ptCount val="1"/>
                <c:pt idx="0">
                  <c:v>0.51227601850256299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3F-445D-9BD5-77A49250BEDA}"/>
            </c:ext>
          </c:extLst>
        </c:ser>
        <c:ser>
          <c:idx val="10"/>
          <c:order val="10"/>
          <c:tx>
            <c:strRef>
              <c:f>PS_5!$A$16</c:f>
              <c:strCache>
                <c:ptCount val="1"/>
                <c:pt idx="0">
                  <c:v>Non-alcoholic beverages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PS_5!$AE$16</c:f>
              <c:numCache>
                <c:formatCode>0.00</c:formatCode>
                <c:ptCount val="1"/>
                <c:pt idx="0">
                  <c:v>0.67563173416540223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3F-445D-9BD5-77A49250BEDA}"/>
            </c:ext>
          </c:extLst>
        </c:ser>
        <c:ser>
          <c:idx val="11"/>
          <c:order val="11"/>
          <c:tx>
            <c:strRef>
              <c:f>PS_5!$A$17</c:f>
              <c:strCache>
                <c:ptCount val="1"/>
                <c:pt idx="0">
                  <c:v>Prepared meals, snacks, sweets etc.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PS_5!$AE$17</c:f>
              <c:numCache>
                <c:formatCode>0.00</c:formatCode>
                <c:ptCount val="1"/>
                <c:pt idx="0">
                  <c:v>0.63528538231225018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3F-445D-9BD5-77A49250BEDA}"/>
            </c:ext>
          </c:extLst>
        </c:ser>
        <c:ser>
          <c:idx val="12"/>
          <c:order val="12"/>
          <c:tx>
            <c:strRef>
              <c:f>PS_5!$A$18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PS_5!$AE$18</c:f>
              <c:numCache>
                <c:formatCode>0.00</c:formatCode>
                <c:ptCount val="1"/>
                <c:pt idx="0">
                  <c:v>0.70967053178100881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3F-445D-9BD5-77A49250BEDA}"/>
            </c:ext>
          </c:extLst>
        </c:ser>
        <c:ser>
          <c:idx val="13"/>
          <c:order val="13"/>
          <c:tx>
            <c:strRef>
              <c:f>PS_5!$A$19</c:f>
              <c:strCache>
                <c:ptCount val="1"/>
                <c:pt idx="0">
                  <c:v>Pan, tobacco and intoxicants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PS_5!$AE$19</c:f>
              <c:numCache>
                <c:formatCode>0.00</c:formatCode>
                <c:ptCount val="1"/>
                <c:pt idx="0">
                  <c:v>0.5322553824571401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3F-445D-9BD5-77A49250BEDA}"/>
            </c:ext>
          </c:extLst>
        </c:ser>
        <c:ser>
          <c:idx val="14"/>
          <c:order val="14"/>
          <c:tx>
            <c:strRef>
              <c:f>PS_5!$A$20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PS_5!$AE$20</c:f>
              <c:numCache>
                <c:formatCode>0.00</c:formatCode>
                <c:ptCount val="1"/>
                <c:pt idx="0">
                  <c:v>0.66726192821333341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3F-445D-9BD5-77A49250BEDA}"/>
            </c:ext>
          </c:extLst>
        </c:ser>
        <c:ser>
          <c:idx val="15"/>
          <c:order val="15"/>
          <c:tx>
            <c:strRef>
              <c:f>PS_5!$A$21</c:f>
              <c:strCache>
                <c:ptCount val="1"/>
                <c:pt idx="0">
                  <c:v>Footwear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PS_5!$AE$21</c:f>
              <c:numCache>
                <c:formatCode>0.00</c:formatCode>
                <c:ptCount val="1"/>
                <c:pt idx="0">
                  <c:v>0.69238471842336602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83F-445D-9BD5-77A49250BEDA}"/>
            </c:ext>
          </c:extLst>
        </c:ser>
        <c:ser>
          <c:idx val="16"/>
          <c:order val="16"/>
          <c:tx>
            <c:strRef>
              <c:f>PS_5!$A$22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PS_5!$AE$22</c:f>
              <c:numCache>
                <c:formatCode>0.00</c:formatCode>
                <c:ptCount val="1"/>
                <c:pt idx="0">
                  <c:v>0.67151996944592118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83F-445D-9BD5-77A49250BEDA}"/>
            </c:ext>
          </c:extLst>
        </c:ser>
        <c:ser>
          <c:idx val="17"/>
          <c:order val="17"/>
          <c:tx>
            <c:strRef>
              <c:f>PS_5!$A$23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PS_5!$AE$23</c:f>
              <c:numCache>
                <c:formatCode>0.00</c:formatCode>
                <c:ptCount val="1"/>
                <c:pt idx="0">
                  <c:v>0.58260754054158548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83F-445D-9BD5-77A49250BEDA}"/>
            </c:ext>
          </c:extLst>
        </c:ser>
        <c:ser>
          <c:idx val="18"/>
          <c:order val="18"/>
          <c:tx>
            <c:strRef>
              <c:f>PS_5!$A$24</c:f>
              <c:strCache>
                <c:ptCount val="1"/>
                <c:pt idx="0">
                  <c:v>Fuel and light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PS_5!$AE$24</c:f>
              <c:numCache>
                <c:formatCode>0.00</c:formatCode>
                <c:ptCount val="1"/>
                <c:pt idx="0">
                  <c:v>0.71027192860202093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83F-445D-9BD5-77A49250BEDA}"/>
            </c:ext>
          </c:extLst>
        </c:ser>
        <c:ser>
          <c:idx val="19"/>
          <c:order val="19"/>
          <c:tx>
            <c:strRef>
              <c:f>PS_5!$A$25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PS_5!$AE$25</c:f>
              <c:numCache>
                <c:formatCode>0.00</c:formatCode>
                <c:ptCount val="1"/>
                <c:pt idx="0">
                  <c:v>0.6542215219876566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83F-445D-9BD5-77A49250BEDA}"/>
            </c:ext>
          </c:extLst>
        </c:ser>
        <c:ser>
          <c:idx val="20"/>
          <c:order val="20"/>
          <c:tx>
            <c:strRef>
              <c:f>PS_5!$A$26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PS_5!$AE$26</c:f>
              <c:numCache>
                <c:formatCode>0.00</c:formatCode>
                <c:ptCount val="1"/>
                <c:pt idx="0">
                  <c:v>0.6183374191219887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83F-445D-9BD5-77A49250BEDA}"/>
            </c:ext>
          </c:extLst>
        </c:ser>
        <c:ser>
          <c:idx val="21"/>
          <c:order val="21"/>
          <c:tx>
            <c:strRef>
              <c:f>PS_5!$A$27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PS_5!$AE$27</c:f>
              <c:numCache>
                <c:formatCode>0.00</c:formatCode>
                <c:ptCount val="1"/>
                <c:pt idx="0">
                  <c:v>0.77857772043702822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83F-445D-9BD5-77A49250BEDA}"/>
            </c:ext>
          </c:extLst>
        </c:ser>
        <c:ser>
          <c:idx val="22"/>
          <c:order val="22"/>
          <c:tx>
            <c:strRef>
              <c:f>PS_5!$A$28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PS_5!$AE$28</c:f>
              <c:numCache>
                <c:formatCode>0.00</c:formatCode>
                <c:ptCount val="1"/>
                <c:pt idx="0">
                  <c:v>0.72403484176045285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83F-445D-9BD5-77A49250BEDA}"/>
            </c:ext>
          </c:extLst>
        </c:ser>
        <c:ser>
          <c:idx val="23"/>
          <c:order val="23"/>
          <c:tx>
            <c:strRef>
              <c:f>PS_5!$A$29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PS_5!$AE$29</c:f>
              <c:numCache>
                <c:formatCode>0.00</c:formatCode>
                <c:ptCount val="1"/>
                <c:pt idx="0">
                  <c:v>0.59613394654076424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83F-445D-9BD5-77A49250BEDA}"/>
            </c:ext>
          </c:extLst>
        </c:ser>
        <c:ser>
          <c:idx val="24"/>
          <c:order val="24"/>
          <c:tx>
            <c:strRef>
              <c:f>PS_5!$A$30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PS_5!$AE$30</c:f>
              <c:numCache>
                <c:formatCode>0.00</c:formatCode>
                <c:ptCount val="1"/>
                <c:pt idx="0">
                  <c:v>0.55910184666469454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83F-445D-9BD5-77A49250BEDA}"/>
            </c:ext>
          </c:extLst>
        </c:ser>
        <c:ser>
          <c:idx val="25"/>
          <c:order val="25"/>
          <c:tx>
            <c:strRef>
              <c:f>PS_5!$A$31</c:f>
              <c:strCache>
                <c:ptCount val="1"/>
                <c:pt idx="0">
                  <c:v>Miscellaneous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PS_5!$AE$31</c:f>
              <c:numCache>
                <c:formatCode>0.00</c:formatCode>
                <c:ptCount val="1"/>
                <c:pt idx="0">
                  <c:v>0.67548161234849602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83F-445D-9BD5-77A49250BEDA}"/>
            </c:ext>
          </c:extLst>
        </c:ser>
        <c:ser>
          <c:idx val="26"/>
          <c:order val="26"/>
          <c:tx>
            <c:strRef>
              <c:f>PS_5!$A$32</c:f>
              <c:strCache>
                <c:ptCount val="1"/>
                <c:pt idx="0">
                  <c:v>General index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PS_5!$AE$32</c:f>
              <c:numCache>
                <c:formatCode>0.00</c:formatCode>
                <c:ptCount val="1"/>
                <c:pt idx="0">
                  <c:v>0.6951709600352336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83F-445D-9BD5-77A49250BEDA}"/>
            </c:ext>
          </c:extLst>
        </c:ser>
        <c:ser>
          <c:idx val="27"/>
          <c:order val="27"/>
          <c:tx>
            <c:strRef>
              <c:f>PS_5!$A$33</c:f>
              <c:strCache>
                <c:ptCount val="1"/>
                <c:pt idx="0">
                  <c:v>Eatables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PS_5!$AE$33</c:f>
              <c:numCache>
                <c:formatCode>0.00</c:formatCode>
                <c:ptCount val="1"/>
                <c:pt idx="0">
                  <c:v>0.71355462060873698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83F-445D-9BD5-77A49250BEDA}"/>
            </c:ext>
          </c:extLst>
        </c:ser>
        <c:ser>
          <c:idx val="28"/>
          <c:order val="28"/>
          <c:tx>
            <c:strRef>
              <c:f>PS_5!$A$34</c:f>
              <c:strCache>
                <c:ptCount val="1"/>
                <c:pt idx="0">
                  <c:v>Apparels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PS_5!$AE$34</c:f>
              <c:numCache>
                <c:formatCode>0.00</c:formatCode>
                <c:ptCount val="1"/>
                <c:pt idx="0">
                  <c:v>0.67778613541721977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83F-445D-9BD5-77A49250BEDA}"/>
            </c:ext>
          </c:extLst>
        </c:ser>
        <c:ser>
          <c:idx val="29"/>
          <c:order val="29"/>
          <c:tx>
            <c:strRef>
              <c:f>PS_5!$A$35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PS_5!$AE$35</c:f>
              <c:numCache>
                <c:formatCode>0.00</c:formatCode>
                <c:ptCount val="1"/>
                <c:pt idx="0">
                  <c:v>0.71503701919175822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83F-445D-9BD5-77A49250BEDA}"/>
            </c:ext>
          </c:extLst>
        </c:ser>
        <c:ser>
          <c:idx val="30"/>
          <c:order val="30"/>
          <c:tx>
            <c:strRef>
              <c:f>PS_5!$A$36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PS_5!$AE$36</c:f>
              <c:numCache>
                <c:formatCode>0.00</c:formatCode>
                <c:ptCount val="1"/>
                <c:pt idx="0">
                  <c:v>0.58923703893981549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83F-445D-9BD5-77A49250BEDA}"/>
            </c:ext>
          </c:extLst>
        </c:ser>
        <c:ser>
          <c:idx val="31"/>
          <c:order val="31"/>
          <c:tx>
            <c:strRef>
              <c:f>PS_5!$A$37</c:f>
              <c:strCache>
                <c:ptCount val="1"/>
                <c:pt idx="0">
                  <c:v>Amenities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PS_5!$AE$37</c:f>
              <c:numCache>
                <c:formatCode>0.00</c:formatCode>
                <c:ptCount val="1"/>
                <c:pt idx="0">
                  <c:v>0.66962930578582947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83F-445D-9BD5-77A49250BEDA}"/>
            </c:ext>
          </c:extLst>
        </c:ser>
        <c:ser>
          <c:idx val="32"/>
          <c:order val="32"/>
          <c:tx>
            <c:strRef>
              <c:f>PS_5!$A$38</c:f>
              <c:strCache>
                <c:ptCount val="1"/>
                <c:pt idx="0">
                  <c:v>Assorted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PS_5!$AE$38</c:f>
              <c:numCache>
                <c:formatCode>0.00</c:formatCode>
                <c:ptCount val="1"/>
                <c:pt idx="0">
                  <c:v>0.62998742392745155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83F-445D-9BD5-77A49250B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55696"/>
        <c:axId val="141052816"/>
      </c:barChart>
      <c:catAx>
        <c:axId val="14105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2816"/>
        <c:crosses val="autoZero"/>
        <c:auto val="1"/>
        <c:lblAlgn val="ctr"/>
        <c:lblOffset val="100"/>
        <c:noMultiLvlLbl val="0"/>
      </c:catAx>
      <c:valAx>
        <c:axId val="1410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502920</xdr:colOff>
      <xdr:row>1</xdr:row>
      <xdr:rowOff>62865</xdr:rowOff>
    </xdr:from>
    <xdr:to>
      <xdr:col>16</xdr:col>
      <xdr:colOff>198120</xdr:colOff>
      <xdr:row>16</xdr:row>
      <xdr:rowOff>62865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DCC45-B782-6054-928C-FB952C01E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541020</xdr:colOff>
      <xdr:row>17</xdr:row>
      <xdr:rowOff>34290</xdr:rowOff>
    </xdr:from>
    <xdr:to>
      <xdr:col>16</xdr:col>
      <xdr:colOff>236220</xdr:colOff>
      <xdr:row>32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CD0965-7210-E202-5AC3-B2D855C71436}"/>
            </a:ext>
            <a:ext uri="{147F2762-F138-4A5C-976F-8EAC2B608ADB}">
              <a16:predDERef xmlns:a16="http://schemas.microsoft.com/office/drawing/2014/main" pred="{18ADCC45-B782-6054-928C-FB952C01E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400050</xdr:colOff>
      <xdr:row>16</xdr:row>
      <xdr:rowOff>142875</xdr:rowOff>
    </xdr:from>
    <xdr:to>
      <xdr:col>24</xdr:col>
      <xdr:colOff>95250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7E9778-E816-04F5-E30B-791ACFE45D37}"/>
            </a:ext>
            <a:ext uri="{147F2762-F138-4A5C-976F-8EAC2B608ADB}">
              <a16:predDERef xmlns:a16="http://schemas.microsoft.com/office/drawing/2014/main" pred="{F8CD0965-7210-E202-5AC3-B2D855C71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657225</xdr:colOff>
      <xdr:row>2</xdr:row>
      <xdr:rowOff>171450</xdr:rowOff>
    </xdr:from>
    <xdr:to>
      <xdr:col>21</xdr:col>
      <xdr:colOff>419100</xdr:colOff>
      <xdr:row>24</xdr:row>
      <xdr:rowOff>66675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298EA70-984B-9832-D927-FE71492D091B}"/>
            </a:ext>
            <a:ext uri="{147F2762-F138-4A5C-976F-8EAC2B608ADB}">
              <a16:predDERef xmlns:a16="http://schemas.microsoft.com/office/drawing/2014/main" pred="{2555E297-A089-D963-08FC-C113337A6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0" y="48463200"/>
          <a:ext cx="6905625" cy="3914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39</xdr:row>
      <xdr:rowOff>15240</xdr:rowOff>
    </xdr:from>
    <xdr:to>
      <xdr:col>11</xdr:col>
      <xdr:colOff>304800</xdr:colOff>
      <xdr:row>52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53ED4-4C1E-59D7-6C63-23E09B28A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56</xdr:row>
      <xdr:rowOff>30480</xdr:rowOff>
    </xdr:from>
    <xdr:to>
      <xdr:col>12</xdr:col>
      <xdr:colOff>38100</xdr:colOff>
      <xdr:row>71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67FED7-4E55-50AA-FE3C-439FCBCE1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22</xdr:col>
      <xdr:colOff>304800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87190-C7F2-F9E7-A583-2EE55F0B1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7620</xdr:colOff>
      <xdr:row>43</xdr:row>
      <xdr:rowOff>22860</xdr:rowOff>
    </xdr:from>
    <xdr:to>
      <xdr:col>22</xdr:col>
      <xdr:colOff>312420</xdr:colOff>
      <xdr:row>58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9E6D2-A70F-E0A0-1B71-BB905DD74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594360</xdr:colOff>
      <xdr:row>2</xdr:row>
      <xdr:rowOff>7620</xdr:rowOff>
    </xdr:from>
    <xdr:to>
      <xdr:col>40</xdr:col>
      <xdr:colOff>289560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7C6DE-84D5-FBE8-55E7-D05C7CD4A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221832986113" createdVersion="8" refreshedVersion="8" minRefreshableVersion="3" recordCount="372" xr:uid="{1129C4BA-D962-4EBD-A3E4-7D439AF3990F}">
  <cacheSource type="worksheet">
    <worksheetSource ref="A1:AJ373" sheet="Cleaned_Data"/>
  </cacheSource>
  <cacheFields count="36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Marcrh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 count="285">
        <n v="105.1"/>
        <n v="104"/>
        <n v="104.6"/>
        <n v="105.8"/>
        <n v="104.7"/>
        <n v="105.3"/>
        <n v="106"/>
        <n v="105"/>
        <n v="105.5"/>
        <n v="106.4"/>
        <n v="105.7"/>
        <n v="106.1"/>
        <n v="107.2"/>
        <n v="106.6"/>
        <n v="106.9"/>
        <n v="108.9"/>
        <n v="109.7"/>
        <n v="109.3"/>
        <n v="110.7"/>
        <n v="111.4"/>
        <n v="111"/>
        <n v="112.1"/>
        <n v="112.7"/>
        <n v="112.4"/>
        <n v="114.2"/>
        <n v="113.2"/>
        <n v="113.7"/>
        <n v="115.5"/>
        <n v="114"/>
        <n v="114.8"/>
        <n v="117.4"/>
        <n v="115"/>
        <n v="116.3"/>
        <n v="113.3"/>
        <n v="114.5"/>
        <n v="112.9"/>
        <n v="113.6"/>
        <n v="113.1"/>
        <n v="114.6"/>
        <n v="115.4"/>
        <n v="114.7"/>
        <n v="115.1"/>
        <n v="116"/>
        <n v="115.6"/>
        <n v="115.8"/>
        <n v="117"/>
        <n v="116.4"/>
        <n v="116.7"/>
        <n v="119.5"/>
        <n v="118.9"/>
        <n v="119.2"/>
        <n v="120.7"/>
        <n v="119.9"/>
        <n v="120.3"/>
        <n v="120.9"/>
        <n v="120.1"/>
        <n v="121"/>
        <n v="119.1"/>
        <n v="121.1"/>
        <n v="119"/>
        <n v="118.4"/>
        <n v="119.4"/>
        <n v="118.5"/>
        <n v="120.6"/>
        <n v="118.7"/>
        <n v="119.7"/>
        <n v="120.2"/>
        <n v="121.5"/>
        <n v="122.4"/>
        <n v="121.6"/>
        <n v="124.1"/>
        <n v="121.7"/>
        <n v="123"/>
        <n v="124.7"/>
        <n v="123.6"/>
        <n v="126.1"/>
        <n v="123.2"/>
        <n v="124.8"/>
        <n v="127"/>
        <n v="123.5"/>
        <n v="125.4"/>
        <n v="127.7"/>
        <n v="124.2"/>
        <n v="128.30000000000001"/>
        <n v="124.6"/>
        <n v="126.6"/>
        <n v="127.9"/>
        <n v="124"/>
        <n v="128.1"/>
        <n v="126.3"/>
        <n v="123.8"/>
        <n v="126"/>
        <n v="128"/>
        <n v="129"/>
        <n v="125.3"/>
        <n v="127.3"/>
        <n v="130.30000000000001"/>
        <n v="128.6"/>
        <n v="131.9"/>
        <n v="130.1"/>
        <n v="133"/>
        <n v="131.1"/>
        <n v="133.5"/>
        <n v="128.4"/>
        <n v="133.4"/>
        <n v="130.9"/>
        <n v="133.80000000000001"/>
        <n v="131.4"/>
        <n v="133.6"/>
        <n v="128.5"/>
        <n v="131.19999999999999"/>
        <n v="132.80000000000001"/>
        <n v="127.6"/>
        <n v="130.4"/>
        <n v="132.4"/>
        <n v="127.8"/>
        <n v="132.6"/>
        <n v="128.19999999999999"/>
        <n v="130.6"/>
        <n v="128.69999999999999"/>
        <n v="132.9"/>
        <n v="129.1"/>
        <n v="133.30000000000001"/>
        <n v="129.30000000000001"/>
        <n v="133.9"/>
        <n v="129.9"/>
        <n v="132"/>
        <n v="136.19999999999999"/>
        <n v="131.80000000000001"/>
        <n v="134.19999999999999"/>
        <n v="137.80000000000001"/>
        <n v="132.69999999999999"/>
        <n v="135.4"/>
        <n v="137.6"/>
        <n v="135.19999999999999"/>
        <n v="138.30000000000001"/>
        <n v="136.1"/>
        <n v="140"/>
        <n v="134.80000000000001"/>
        <n v="139.80000000000001"/>
        <n v="134.1"/>
        <n v="137.19999999999999"/>
        <n v="139.30000000000001"/>
        <n v="136.9"/>
        <n v="138.5"/>
        <n v="134"/>
        <n v="136.4"/>
        <n v="138.69999999999999"/>
        <n v="136.5"/>
        <n v="139.1"/>
        <n v="137.1"/>
        <n v="140.5"/>
        <n v="141.80000000000001"/>
        <n v="137.5"/>
        <n v="142.5"/>
        <n v="138"/>
        <n v="140.4"/>
        <n v="142.1"/>
        <n v="138.1"/>
        <n v="140.19999999999999"/>
        <n v="142.19999999999999"/>
        <n v="138.9"/>
        <n v="140.80000000000001"/>
        <n v="142.4"/>
        <n v="139"/>
        <n v="141.9"/>
        <n v="140.1"/>
        <n v="141"/>
        <n v="139.6"/>
        <n v="138.6"/>
        <n v="139.9"/>
        <n v="141.19999999999999"/>
        <n v="139.5"/>
        <n v="141.5"/>
        <n v="142"/>
        <n v="143.6"/>
        <n v="142.9"/>
        <n v="144.9"/>
        <n v="143.30000000000001"/>
        <n v="144.19999999999999"/>
        <n v="145.69999999999999"/>
        <n v="145"/>
        <n v="146.69999999999999"/>
        <n v="144.69999999999999"/>
        <n v="145.80000000000001"/>
        <n v="148.30000000000001"/>
        <n v="146"/>
        <n v="147.19999999999999"/>
        <n v="149.9"/>
        <n v="147"/>
        <n v="148.6"/>
        <n v="152.30000000000001"/>
        <n v="150.4"/>
        <n v="151.9"/>
        <n v="148.19999999999999"/>
        <n v="150.19999999999999"/>
        <n v="147.69999999999999"/>
        <n v="149.1"/>
        <n v="149.80000000000001"/>
        <n v="147.30000000000001"/>
        <n v="153.30000000000001"/>
        <n v="152.69999999999999"/>
        <n v="150.80000000000001"/>
        <n v="151.80000000000001"/>
        <n v="154.69999999999999"/>
        <n v="152.9"/>
        <n v="153.9"/>
        <n v="155.4"/>
        <n v="154"/>
        <n v="157.5"/>
        <n v="155.19999999999999"/>
        <n v="156.4"/>
        <n v="159.80000000000001"/>
        <n v="156.69999999999999"/>
        <n v="158.4"/>
        <n v="160.69999999999999"/>
        <n v="156.9"/>
        <n v="158.9"/>
        <n v="158.5"/>
        <n v="156"/>
        <n v="157.30000000000001"/>
        <n v="156.5"/>
        <n v="156.6"/>
        <n v="156.80000000000001"/>
        <n v="157.6"/>
        <n v="158"/>
        <n v="157.80000000000001"/>
        <n v="161.1"/>
        <n v="159.5"/>
        <n v="160.4"/>
        <n v="162.1"/>
        <n v="161.30000000000001"/>
        <n v="163.19999999999999"/>
        <n v="161.80000000000001"/>
        <n v="162.5"/>
        <n v="163.6"/>
        <n v="162.30000000000001"/>
        <n v="164"/>
        <n v="166.3"/>
        <n v="164.6"/>
        <n v="165.5"/>
        <n v="167.6"/>
        <n v="165.6"/>
        <n v="166.7"/>
        <n v="167"/>
        <n v="165.2"/>
        <n v="166.2"/>
        <n v="166.4"/>
        <n v="165"/>
        <n v="165.7"/>
        <n v="166.1"/>
        <n v="168.7"/>
        <n v="166.5"/>
        <n v="167.7"/>
        <n v="170.8"/>
        <n v="169.2"/>
        <n v="170.1"/>
        <n v="172.5"/>
        <n v="171.7"/>
        <n v="173.6"/>
        <n v="171.4"/>
        <n v="172.6"/>
        <n v="174.3"/>
        <n v="172.3"/>
        <n v="173.4"/>
        <n v="175.3"/>
        <n v="173.1"/>
        <n v="176.4"/>
        <n v="174.1"/>
        <n v="177.9"/>
        <n v="176.7"/>
        <n v="177.8"/>
        <n v="176.5"/>
        <n v="177.1"/>
        <n v="175.7"/>
        <n v="174.9"/>
        <n v="178"/>
        <n v="176.3"/>
        <n v="177.2"/>
        <n v="178.8"/>
        <n v="177.4"/>
        <n v="178.1"/>
        <n v="179.8"/>
        <n v="178.2"/>
        <n v="179.1"/>
      </sharedItems>
    </cacheField>
    <cacheField name="Food" numFmtId="0">
      <sharedItems containsSemiMixedTypes="0" containsString="0" containsNumber="1" minValue="1371.6999999999998" maxValue="2335.1"/>
    </cacheField>
    <cacheField name="Apparels" numFmtId="0">
      <sharedItems containsSemiMixedTypes="0" containsString="0" containsNumber="1" minValue="316.7" maxValue="569.90000000000009"/>
    </cacheField>
    <cacheField name="Utilities" numFmtId="0">
      <sharedItems containsSemiMixedTypes="0" containsString="0" containsNumber="1" minValue="309.60000000000002" maxValue="523.79999999999995"/>
    </cacheField>
    <cacheField name="Personal Care" numFmtId="0">
      <sharedItems containsSemiMixedTypes="0" containsString="0" containsNumber="1" minValue="207.8" maxValue="372.70000000000005"/>
    </cacheField>
    <cacheField name="Amenities" numFmtId="164">
      <sharedItems containsSemiMixedTypes="0" containsString="0" containsNumber="1" minValue="310.5" maxValue="537.90000000000009"/>
    </cacheField>
    <cacheField name="Assorted" numFmtId="3">
      <sharedItems containsSemiMixedTypes="0" containsString="0" containsNumber="1" minValue="208.9" maxValue="37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s v="Rural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00.3"/>
    <n v="105.5"/>
    <n v="104.8"/>
    <n v="104"/>
    <n v="103.3"/>
    <n v="103.4"/>
    <n v="103.8"/>
    <n v="104.7"/>
    <n v="104"/>
    <x v="0"/>
    <n v="1371.6999999999998"/>
    <n v="318.70000000000005"/>
    <n v="310.5"/>
    <n v="208.7"/>
    <n v="310.60000000000002"/>
    <n v="209.1"/>
  </r>
  <r>
    <s v="Urban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x v="1"/>
    <n v="1376.3999999999996"/>
    <n v="316.7"/>
    <n v="309.60000000000002"/>
    <n v="208.39999999999998"/>
    <n v="310.5"/>
    <n v="208.9"/>
  </r>
  <r>
    <s v="Rural+Urban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x v="2"/>
    <n v="1373.3000000000002"/>
    <n v="318"/>
    <n v="309.89999999999998"/>
    <n v="208.5"/>
    <n v="310.60000000000002"/>
    <n v="209"/>
  </r>
  <r>
    <s v="Rural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00.4"/>
    <n v="106.2"/>
    <n v="105.2"/>
    <n v="104.4"/>
    <n v="103.9"/>
    <n v="104"/>
    <n v="104.1"/>
    <n v="104.6"/>
    <n v="104.4"/>
    <x v="3"/>
    <n v="1380.4000000000003"/>
    <n v="320.39999999999998"/>
    <n v="312"/>
    <n v="209"/>
    <n v="311.8"/>
    <n v="210"/>
  </r>
  <r>
    <s v="Urban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x v="4"/>
    <n v="1390.6000000000004"/>
    <n v="318.5"/>
    <n v="311.40000000000003"/>
    <n v="209"/>
    <n v="311.3"/>
    <n v="210.3"/>
  </r>
  <r>
    <s v="Rural+Urban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x v="5"/>
    <n v="1384.2"/>
    <n v="319.7"/>
    <n v="311.70000000000005"/>
    <n v="209"/>
    <n v="311.60000000000002"/>
    <n v="210.10000000000002"/>
  </r>
  <r>
    <s v="Rural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00.4"/>
    <n v="106.1"/>
    <n v="105.6"/>
    <n v="104.7"/>
    <n v="104.6"/>
    <n v="104"/>
    <n v="104.3"/>
    <n v="104.3"/>
    <n v="104.6"/>
    <x v="6"/>
    <n v="1382.2000000000003"/>
    <n v="321.89999999999998"/>
    <n v="312.89999999999998"/>
    <n v="209"/>
    <n v="312.10000000000002"/>
    <n v="211.1"/>
  </r>
  <r>
    <s v="Urban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x v="7"/>
    <n v="1386.8000000000002"/>
    <n v="320.2"/>
    <n v="312.8"/>
    <n v="209.4"/>
    <n v="312.10000000000002"/>
    <n v="211.7"/>
  </r>
  <r>
    <s v="Rural+Urban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x v="8"/>
    <n v="1384.0000000000002"/>
    <n v="321.2"/>
    <n v="312.8"/>
    <n v="209.2"/>
    <n v="312.10000000000002"/>
    <n v="211.3"/>
  </r>
  <r>
    <s v="Rural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00.5"/>
    <n v="106.5"/>
    <n v="106.1"/>
    <n v="105.1"/>
    <n v="104.4"/>
    <n v="104.5"/>
    <n v="104.8"/>
    <n v="102.7"/>
    <n v="104.6"/>
    <x v="9"/>
    <n v="1385.8000000000002"/>
    <n v="323.5"/>
    <n v="313.7"/>
    <n v="207.8"/>
    <n v="313.10000000000002"/>
    <n v="211.7"/>
  </r>
  <r>
    <s v="Urban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x v="10"/>
    <n v="1397.7"/>
    <n v="322"/>
    <n v="314.2"/>
    <n v="208.9"/>
    <n v="313.39999999999998"/>
    <n v="213.6"/>
  </r>
  <r>
    <s v="Rural+Urban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x v="11"/>
    <n v="1390.1999999999998"/>
    <n v="322.89999999999998"/>
    <n v="313.89999999999998"/>
    <n v="208.2"/>
    <n v="313.3"/>
    <n v="212.3"/>
  </r>
  <r>
    <s v="Rural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00.5"/>
    <n v="107.5"/>
    <n v="106.8"/>
    <n v="105.7"/>
    <n v="104.1"/>
    <n v="105"/>
    <n v="105.5"/>
    <n v="102.1"/>
    <n v="104.8"/>
    <x v="12"/>
    <n v="1394.0000000000002"/>
    <n v="325.29999999999995"/>
    <n v="314.60000000000002"/>
    <n v="207.8"/>
    <n v="314.8"/>
    <n v="212.89999999999998"/>
  </r>
  <r>
    <s v="Urban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x v="13"/>
    <n v="1417.2000000000003"/>
    <n v="323.5"/>
    <n v="314.20000000000005"/>
    <n v="208.8"/>
    <n v="314.79999999999995"/>
    <n v="214.7"/>
  </r>
  <r>
    <s v="Rural+Urban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x v="14"/>
    <n v="1402.1999999999998"/>
    <n v="324.60000000000002"/>
    <n v="314.39999999999998"/>
    <n v="208.2"/>
    <n v="314.8"/>
    <n v="213.39999999999998"/>
  </r>
  <r>
    <s v="Rural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06.6"/>
    <n v="108.5"/>
    <n v="107.5"/>
    <n v="106.3"/>
    <n v="105"/>
    <n v="105.6"/>
    <n v="106.5"/>
    <n v="102.5"/>
    <n v="105.5"/>
    <x v="15"/>
    <n v="1419.9999999999998"/>
    <n v="328"/>
    <n v="317.10000000000002"/>
    <n v="208.8"/>
    <n v="322.60000000000002"/>
    <n v="214.5"/>
  </r>
  <r>
    <s v="Urban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x v="16"/>
    <n v="1464.6"/>
    <n v="325.3"/>
    <n v="318.5"/>
    <n v="209.8"/>
    <n v="322.3"/>
    <n v="217"/>
  </r>
  <r>
    <s v="Rural+Urban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x v="17"/>
    <n v="1436.0000000000002"/>
    <n v="326.89999999999998"/>
    <n v="317.89999999999998"/>
    <n v="209.2"/>
    <n v="322.5"/>
    <n v="215.3"/>
  </r>
  <r>
    <s v="Rural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07.7"/>
    <n v="109.5"/>
    <n v="108.3"/>
    <n v="106.9"/>
    <n v="106.8"/>
    <n v="106.4"/>
    <n v="107.8"/>
    <n v="102.5"/>
    <n v="106.5"/>
    <x v="18"/>
    <n v="1445.9"/>
    <n v="330.3"/>
    <n v="321"/>
    <n v="209.4"/>
    <n v="325.5"/>
    <n v="216.3"/>
  </r>
  <r>
    <s v="Urban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x v="19"/>
    <n v="1489.3999999999999"/>
    <n v="327.10000000000002"/>
    <n v="323.29999999999995"/>
    <n v="210.3"/>
    <n v="324.39999999999998"/>
    <n v="219"/>
  </r>
  <r>
    <s v="Rural+Urban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x v="20"/>
    <n v="1461.4"/>
    <n v="329"/>
    <n v="322.29999999999995"/>
    <n v="209.8"/>
    <n v="325.10000000000002"/>
    <n v="217.2"/>
  </r>
  <r>
    <s v="Rural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08.9"/>
    <n v="109.9"/>
    <n v="108.7"/>
    <n v="107.5"/>
    <n v="107.8"/>
    <n v="106.8"/>
    <n v="108.7"/>
    <n v="105"/>
    <n v="107.5"/>
    <x v="21"/>
    <n v="1462.4999999999998"/>
    <n v="332.6"/>
    <n v="323.3"/>
    <n v="212.5"/>
    <n v="327.5"/>
    <n v="218.2"/>
  </r>
  <r>
    <s v="Urban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x v="22"/>
    <n v="1506.1000000000001"/>
    <n v="329.09999999999997"/>
    <n v="325.39999999999998"/>
    <n v="213.6"/>
    <n v="326.89999999999998"/>
    <n v="220.7"/>
  </r>
  <r>
    <s v="Rural+Urban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x v="23"/>
    <n v="1477.3999999999999"/>
    <n v="331.1"/>
    <n v="324.5"/>
    <n v="212.9"/>
    <n v="327.3"/>
    <n v="219.10000000000002"/>
  </r>
  <r>
    <s v="Rural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09.7"/>
    <n v="111.1"/>
    <n v="109.6"/>
    <n v="108.3"/>
    <n v="109.3"/>
    <n v="107.7"/>
    <n v="109.8"/>
    <n v="106.7"/>
    <n v="108.7"/>
    <x v="24"/>
    <n v="1488.5000000000002"/>
    <n v="336.6"/>
    <n v="326.8"/>
    <n v="215"/>
    <n v="330.4"/>
    <n v="220.4"/>
  </r>
  <r>
    <s v="Urban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x v="25"/>
    <n v="1500.3999999999999"/>
    <n v="331.5"/>
    <n v="329"/>
    <n v="214.8"/>
    <n v="328.79999999999995"/>
    <n v="222.3"/>
  </r>
  <r>
    <s v="Rural+Urban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x v="26"/>
    <n v="1491.7"/>
    <n v="334.5"/>
    <n v="328"/>
    <n v="214.89999999999998"/>
    <n v="329.79999999999995"/>
    <n v="221"/>
  </r>
  <r>
    <s v="Rural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10.5"/>
    <n v="111.6"/>
    <n v="110.4"/>
    <n v="108.9"/>
    <n v="109.3"/>
    <n v="108.3"/>
    <n v="110.2"/>
    <n v="107.5"/>
    <n v="109.1"/>
    <x v="27"/>
    <n v="1508"/>
    <n v="339.29999999999995"/>
    <n v="327.8"/>
    <n v="216.4"/>
    <n v="332.5"/>
    <n v="221.3"/>
  </r>
  <r>
    <s v="Urban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x v="28"/>
    <n v="1517.2000000000003"/>
    <n v="334.2"/>
    <n v="329"/>
    <n v="215.5"/>
    <n v="330.4"/>
    <n v="222.9"/>
  </r>
  <r>
    <s v="Rural+Urban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x v="29"/>
    <n v="1510.1999999999998"/>
    <n v="337.2"/>
    <n v="328.4"/>
    <n v="216"/>
    <n v="331.7"/>
    <n v="221.7"/>
  </r>
  <r>
    <s v="Rural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11.1"/>
    <n v="112.6"/>
    <n v="111.3"/>
    <n v="109.7"/>
    <n v="109.6"/>
    <n v="108.7"/>
    <n v="111"/>
    <n v="108.2"/>
    <n v="109.8"/>
    <x v="30"/>
    <n v="1536.8000000000002"/>
    <n v="342.1"/>
    <n v="329.3"/>
    <n v="217.9"/>
    <n v="335"/>
    <n v="222.6"/>
  </r>
  <r>
    <s v="Urban"/>
    <x v="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x v="31"/>
    <n v="1544.6"/>
    <n v="336.8"/>
    <n v="329.3"/>
    <n v="216.5"/>
    <n v="332"/>
    <n v="223.7"/>
  </r>
  <r>
    <s v="Rural+Urban"/>
    <x v="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x v="32"/>
    <n v="1538.8000000000002"/>
    <n v="339.90000000000003"/>
    <n v="329.29999999999995"/>
    <n v="217.39999999999998"/>
    <n v="333.79999999999995"/>
    <n v="222.8"/>
  </r>
  <r>
    <s v="Rural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10.7"/>
    <n v="112.8"/>
    <n v="112.1"/>
    <n v="110.1"/>
    <n v="109.9"/>
    <n v="109.2"/>
    <n v="111.6"/>
    <n v="108.1"/>
    <n v="110.1"/>
    <x v="27"/>
    <n v="1509.0000000000002"/>
    <n v="345.3"/>
    <n v="330.7"/>
    <n v="218.2"/>
    <n v="335.6"/>
    <n v="223.7"/>
  </r>
  <r>
    <s v="Urban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x v="33"/>
    <n v="1504.4"/>
    <n v="338.8"/>
    <n v="330"/>
    <n v="216.7"/>
    <n v="332.40000000000003"/>
    <n v="224.8"/>
  </r>
  <r>
    <s v="Rural+Urban"/>
    <x v="0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x v="34"/>
    <n v="1507.3"/>
    <n v="342.7"/>
    <n v="330.3"/>
    <n v="217.60000000000002"/>
    <n v="334.3"/>
    <n v="224"/>
  </r>
  <r>
    <s v="Rural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11.6"/>
    <n v="113"/>
    <n v="112.6"/>
    <n v="110.6"/>
    <n v="110.5"/>
    <n v="109.6"/>
    <n v="111.8"/>
    <n v="108.3"/>
    <n v="110.6"/>
    <x v="24"/>
    <n v="1486.6000000000001"/>
    <n v="347.2"/>
    <n v="331.9"/>
    <n v="218.89999999999998"/>
    <n v="337.2"/>
    <n v="224.6"/>
  </r>
  <r>
    <s v="Urban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x v="35"/>
    <n v="1484.3000000000002"/>
    <n v="340.4"/>
    <n v="332.1"/>
    <n v="217.7"/>
    <n v="334.5"/>
    <n v="226.2"/>
  </r>
  <r>
    <s v="Rural+Urban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x v="36"/>
    <n v="1485.7999999999997"/>
    <n v="344.4"/>
    <n v="332"/>
    <n v="218.5"/>
    <n v="336.1"/>
    <n v="225.1"/>
  </r>
  <r>
    <s v="Rural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12.5"/>
    <n v="113.2"/>
    <n v="112.9"/>
    <n v="110.9"/>
    <n v="110.8"/>
    <n v="109.9"/>
    <n v="112"/>
    <n v="108.7"/>
    <n v="110.9"/>
    <x v="28"/>
    <n v="1482.2000000000003"/>
    <n v="348.3"/>
    <n v="332.70000000000005"/>
    <n v="219.60000000000002"/>
    <n v="338.6"/>
    <n v="225.10000000000002"/>
  </r>
  <r>
    <s v="Urban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x v="37"/>
    <n v="1476.0000000000002"/>
    <n v="341.7"/>
    <n v="333.2"/>
    <n v="219.10000000000002"/>
    <n v="336.2"/>
    <n v="227.2"/>
  </r>
  <r>
    <s v="Rural+Urban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x v="36"/>
    <n v="1480.1000000000001"/>
    <n v="345.6"/>
    <n v="333"/>
    <n v="219.4"/>
    <n v="337.7"/>
    <n v="225.60000000000002"/>
  </r>
  <r>
    <s v="Rural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13.2"/>
    <n v="113.4"/>
    <n v="113.4"/>
    <n v="111.4"/>
    <n v="111.2"/>
    <n v="110.2"/>
    <n v="112.4"/>
    <n v="108.9"/>
    <n v="111.3"/>
    <x v="38"/>
    <n v="1491.3999999999999"/>
    <n v="349.6"/>
    <n v="333.8"/>
    <n v="220.3"/>
    <n v="340"/>
    <n v="225.89999999999998"/>
  </r>
  <r>
    <s v="Urban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x v="26"/>
    <n v="1482.9999999999998"/>
    <n v="343.09999999999997"/>
    <n v="334.29999999999995"/>
    <n v="220"/>
    <n v="337.1"/>
    <n v="228.10000000000002"/>
  </r>
  <r>
    <s v="Rural+Urban"/>
    <x v="1"/>
    <x v="1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x v="24"/>
    <n v="1488.3"/>
    <n v="346.9"/>
    <n v="334"/>
    <n v="220.2"/>
    <n v="338.9"/>
    <n v="226.5"/>
  </r>
  <r>
    <s v="Rural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13.9"/>
    <n v="113.4"/>
    <n v="113.7"/>
    <n v="111.8"/>
    <n v="111.2"/>
    <n v="110.5"/>
    <n v="113"/>
    <n v="108.9"/>
    <n v="111.5"/>
    <x v="39"/>
    <n v="1504.1"/>
    <n v="352"/>
    <n v="334.7"/>
    <n v="220.7"/>
    <n v="341"/>
    <n v="226.9"/>
  </r>
  <r>
    <s v="Urban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x v="40"/>
    <n v="1504"/>
    <n v="344.5"/>
    <n v="334.9"/>
    <n v="220.1"/>
    <n v="338.20000000000005"/>
    <n v="229"/>
  </r>
  <r>
    <s v="Rural+Urban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x v="41"/>
    <n v="1504.1000000000001"/>
    <n v="349"/>
    <n v="334.8"/>
    <n v="220.5"/>
    <n v="340"/>
    <n v="227.5"/>
  </r>
  <r>
    <s v="Rural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14.3"/>
    <n v="113.4"/>
    <n v="114.1"/>
    <n v="112.1"/>
    <n v="111.4"/>
    <n v="110.9"/>
    <n v="113.1"/>
    <n v="108.9"/>
    <n v="111.8"/>
    <x v="42"/>
    <n v="1513.9"/>
    <n v="354"/>
    <n v="335.4"/>
    <n v="221"/>
    <n v="341.79999999999995"/>
    <n v="228.1"/>
  </r>
  <r>
    <s v="Urban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x v="43"/>
    <n v="1525.3"/>
    <n v="345.9"/>
    <n v="335.7"/>
    <n v="220.5"/>
    <n v="339.5"/>
    <n v="230"/>
  </r>
  <r>
    <s v="Rural+Urban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x v="44"/>
    <n v="1518.5"/>
    <n v="350.79999999999995"/>
    <n v="335.5"/>
    <n v="220.89999999999998"/>
    <n v="340.9"/>
    <n v="228.6"/>
  </r>
  <r>
    <s v="Rural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13.9"/>
    <n v="114.4"/>
    <n v="114.9"/>
    <n v="112.8"/>
    <n v="112.2"/>
    <n v="111.4"/>
    <n v="114.3"/>
    <n v="108"/>
    <n v="112.3"/>
    <x v="45"/>
    <n v="1525.6999999999998"/>
    <n v="356.3"/>
    <n v="337.9"/>
    <n v="220.8"/>
    <n v="343.20000000000005"/>
    <n v="229.6"/>
  </r>
  <r>
    <s v="Urban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x v="46"/>
    <n v="1547.0000000000002"/>
    <n v="347.3"/>
    <n v="338.4"/>
    <n v="220.10000000000002"/>
    <n v="339.40000000000003"/>
    <n v="231.2"/>
  </r>
  <r>
    <s v="Rural+Urban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x v="47"/>
    <n v="1533.6999999999998"/>
    <n v="352.7"/>
    <n v="338.2"/>
    <n v="220.6"/>
    <n v="341.70000000000005"/>
    <n v="230.1"/>
  </r>
  <r>
    <s v="Rural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14.8"/>
    <n v="115.3"/>
    <n v="115.4"/>
    <n v="113.4"/>
    <n v="113.2"/>
    <n v="111.8"/>
    <n v="115.5"/>
    <n v="108.8"/>
    <n v="113.1"/>
    <x v="48"/>
    <n v="1563.2"/>
    <n v="359.3"/>
    <n v="340.5"/>
    <n v="222.2"/>
    <n v="345.5"/>
    <n v="231.1"/>
  </r>
  <r>
    <s v="Urban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x v="49"/>
    <n v="1599.5"/>
    <n v="349"/>
    <n v="343.20000000000005"/>
    <n v="221.2"/>
    <n v="341.29999999999995"/>
    <n v="234.5"/>
  </r>
  <r>
    <s v="Rural+Urban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x v="50"/>
    <n v="1576.3000000000004"/>
    <n v="355"/>
    <n v="342"/>
    <n v="221.9"/>
    <n v="343.9"/>
    <n v="232.1"/>
  </r>
  <r>
    <s v="Rural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15.5"/>
    <n v="115.4"/>
    <n v="115.9"/>
    <n v="114"/>
    <n v="113.2"/>
    <n v="112.2"/>
    <n v="116.2"/>
    <n v="109.4"/>
    <n v="113.5"/>
    <x v="51"/>
    <n v="1582.3"/>
    <n v="360.4"/>
    <n v="341.6"/>
    <n v="223.4"/>
    <n v="346.8"/>
    <n v="232.3"/>
  </r>
  <r>
    <s v="Urban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x v="52"/>
    <n v="1617"/>
    <n v="350.6"/>
    <n v="344.6"/>
    <n v="222.7"/>
    <n v="342.6"/>
    <n v="236.9"/>
  </r>
  <r>
    <s v="Rural+Urban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x v="53"/>
    <n v="1594.5"/>
    <n v="356.4"/>
    <n v="343.4"/>
    <n v="223.2"/>
    <n v="345.1"/>
    <n v="233.60000000000002"/>
  </r>
  <r>
    <s v="Rural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16.1"/>
    <n v="115.8"/>
    <n v="116.7"/>
    <n v="114.5"/>
    <n v="112.8"/>
    <n v="112.6"/>
    <n v="116.6"/>
    <n v="109.1"/>
    <n v="113.7"/>
    <x v="54"/>
    <n v="1583.2"/>
    <n v="362.2"/>
    <n v="342"/>
    <n v="223.6"/>
    <n v="348.59999999999997"/>
    <n v="233.2"/>
  </r>
  <r>
    <s v="Urban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x v="50"/>
    <n v="1593.7000000000003"/>
    <n v="352.1"/>
    <n v="344.6"/>
    <n v="222.3"/>
    <n v="343.4"/>
    <n v="237.89999999999998"/>
  </r>
  <r>
    <s v="Rural+Urban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x v="55"/>
    <n v="1586.1000000000001"/>
    <n v="358"/>
    <n v="343.7"/>
    <n v="223.2"/>
    <n v="346.5"/>
    <n v="234.5"/>
  </r>
  <r>
    <s v="Rural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16.7"/>
    <n v="116.4"/>
    <n v="117.5"/>
    <n v="115.3"/>
    <n v="112.6"/>
    <n v="113"/>
    <n v="116.9"/>
    <n v="109.3"/>
    <n v="114"/>
    <x v="56"/>
    <n v="1581.1999999999998"/>
    <n v="365.3"/>
    <n v="342.5"/>
    <n v="224.6"/>
    <n v="350.6"/>
    <n v="234"/>
  </r>
  <r>
    <s v="Urban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x v="57"/>
    <n v="1587.4999999999998"/>
    <n v="353.4"/>
    <n v="344.79999999999995"/>
    <n v="222.7"/>
    <n v="344.5"/>
    <n v="238"/>
  </r>
  <r>
    <s v="Rural+Urban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x v="55"/>
    <n v="1582.7"/>
    <n v="360.6"/>
    <n v="343.9"/>
    <n v="223.89999999999998"/>
    <n v="348.1"/>
    <n v="235"/>
  </r>
  <r>
    <s v="Rural"/>
    <x v="1"/>
    <x v="1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17.1"/>
    <n v="117.3"/>
    <n v="118.1"/>
    <n v="115.9"/>
    <n v="112"/>
    <n v="113.3"/>
    <n v="117.2"/>
    <n v="108.8"/>
    <n v="114.1"/>
    <x v="58"/>
    <n v="1582"/>
    <n v="366.70000000000005"/>
    <n v="342.5"/>
    <n v="224.7"/>
    <n v="352.5"/>
    <n v="234.89999999999998"/>
  </r>
  <r>
    <s v="Urban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x v="59"/>
    <n v="1587.8"/>
    <n v="355.2"/>
    <n v="344"/>
    <n v="222.6"/>
    <n v="346.1"/>
    <n v="239.2"/>
  </r>
  <r>
    <s v="Rural+Urban"/>
    <x v="1"/>
    <x v="1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x v="55"/>
    <n v="1583.2"/>
    <n v="362.1"/>
    <n v="343.5"/>
    <n v="223.89999999999998"/>
    <n v="349.9"/>
    <n v="235.89999999999998"/>
  </r>
  <r>
    <s v="Rural"/>
    <x v="1"/>
    <x v="11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16.5"/>
    <n v="117.4"/>
    <n v="118.2"/>
    <n v="116.2"/>
    <n v="111.5"/>
    <n v="113.3"/>
    <n v="117.7"/>
    <n v="109.4"/>
    <n v="114.2"/>
    <x v="53"/>
    <n v="1569.6000000000001"/>
    <n v="367.7"/>
    <n v="342.5"/>
    <n v="225.60000000000002"/>
    <n v="352.1"/>
    <n v="235.9"/>
  </r>
  <r>
    <s v="Urban"/>
    <x v="1"/>
    <x v="11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x v="60"/>
    <n v="1577.2"/>
    <n v="356.5"/>
    <n v="343.8"/>
    <n v="223.60000000000002"/>
    <n v="346.3"/>
    <n v="239.8"/>
  </r>
  <r>
    <s v="Rural+Urban"/>
    <x v="1"/>
    <x v="11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x v="61"/>
    <n v="1571.7000000000003"/>
    <n v="363.2"/>
    <n v="343.5"/>
    <n v="224.89999999999998"/>
    <n v="349.7"/>
    <n v="236.8"/>
  </r>
  <r>
    <s v="Rural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17.3"/>
    <n v="118.4"/>
    <n v="118.9"/>
    <n v="116.6"/>
    <n v="111"/>
    <n v="114"/>
    <n v="118.2"/>
    <n v="110.2"/>
    <n v="114.5"/>
    <x v="53"/>
    <n v="1568.1"/>
    <n v="370"/>
    <n v="343.2"/>
    <n v="226.8"/>
    <n v="354.6"/>
    <n v="237.2"/>
  </r>
  <r>
    <s v="Urban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x v="62"/>
    <n v="1574.8999999999999"/>
    <n v="357.3"/>
    <n v="343.29999999999995"/>
    <n v="225.10000000000002"/>
    <n v="347.9"/>
    <n v="240.8"/>
  </r>
  <r>
    <s v="Rural+Urban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x v="48"/>
    <n v="1569.3000000000004"/>
    <n v="364.9"/>
    <n v="343.40000000000003"/>
    <n v="226.2"/>
    <n v="351.9"/>
    <n v="238"/>
  </r>
  <r>
    <s v="Rural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18.1"/>
    <n v="120"/>
    <n v="119.6"/>
    <n v="117.7"/>
    <n v="110.9"/>
    <n v="114.8"/>
    <n v="118.7"/>
    <n v="110.8"/>
    <n v="115"/>
    <x v="63"/>
    <n v="1570.6000000000001"/>
    <n v="373.1"/>
    <n v="344.40000000000003"/>
    <n v="228.5"/>
    <n v="357.7"/>
    <n v="239.2"/>
  </r>
  <r>
    <s v="Urban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x v="64"/>
    <n v="1571.1"/>
    <n v="358.4"/>
    <n v="342.1"/>
    <n v="225.8"/>
    <n v="349.8"/>
    <n v="241.3"/>
  </r>
  <r>
    <s v="Rural+Urban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x v="65"/>
    <n v="1569.3999999999996"/>
    <n v="367.2"/>
    <n v="343.3"/>
    <n v="227.5"/>
    <n v="354.5"/>
    <n v="239.3"/>
  </r>
  <r>
    <s v="Rural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18.6"/>
    <n v="120.6"/>
    <n v="120.2"/>
    <n v="118.2"/>
    <n v="111.6"/>
    <n v="115.5"/>
    <n v="119.4"/>
    <n v="110.8"/>
    <n v="115.5"/>
    <x v="58"/>
    <n v="1571.5"/>
    <n v="374.4"/>
    <n v="346.5"/>
    <n v="229"/>
    <n v="359.4"/>
    <n v="240.2"/>
  </r>
  <r>
    <s v="Urban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x v="57"/>
    <n v="1568.0000000000002"/>
    <n v="359.5"/>
    <n v="344.4"/>
    <n v="225.6"/>
    <n v="351"/>
    <n v="242.60000000000002"/>
  </r>
  <r>
    <s v="Rural+Urban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x v="66"/>
    <n v="1569.1"/>
    <n v="368.4"/>
    <n v="345.4"/>
    <n v="227.7"/>
    <n v="356.09999999999997"/>
    <n v="240.5"/>
  </r>
  <r>
    <s v="Rural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19.2"/>
    <n v="121.2"/>
    <n v="120.9"/>
    <n v="118.6"/>
    <n v="111.9"/>
    <n v="116.2"/>
    <n v="119.9"/>
    <n v="111.6"/>
    <n v="116"/>
    <x v="67"/>
    <n v="1577.2"/>
    <n v="375.7"/>
    <n v="348"/>
    <n v="230.2"/>
    <n v="361.3"/>
    <n v="241.7"/>
  </r>
  <r>
    <s v="Urban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x v="65"/>
    <n v="1576.1000000000001"/>
    <n v="360.6"/>
    <n v="345.70000000000005"/>
    <n v="226.39999999999998"/>
    <n v="352.3"/>
    <n v="244.3"/>
  </r>
  <r>
    <s v="Rural+Urban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x v="51"/>
    <n v="1575.7"/>
    <n v="369.6"/>
    <n v="347"/>
    <n v="228.8"/>
    <n v="357.6"/>
    <n v="242"/>
  </r>
  <r>
    <s v="Rural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19.6"/>
    <n v="121.9"/>
    <n v="121.5"/>
    <n v="119.4"/>
    <n v="113.3"/>
    <n v="116.7"/>
    <n v="120.5"/>
    <n v="112.3"/>
    <n v="116.9"/>
    <x v="68"/>
    <n v="1587.6999999999998"/>
    <n v="378.2"/>
    <n v="350.5"/>
    <n v="231.7"/>
    <n v="363"/>
    <n v="243.60000000000002"/>
  </r>
  <r>
    <s v="Urban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x v="51"/>
    <n v="1598.8999999999999"/>
    <n v="361.4"/>
    <n v="348.8"/>
    <n v="227.3"/>
    <n v="353.2"/>
    <n v="246.5"/>
  </r>
  <r>
    <s v="Rural+Urban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x v="69"/>
    <n v="1590.3999999999999"/>
    <n v="371.4"/>
    <n v="349.7"/>
    <n v="230"/>
    <n v="359"/>
    <n v="244"/>
  </r>
  <r>
    <s v="Rural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19"/>
    <n v="122.6"/>
    <n v="122.8"/>
    <n v="120.4"/>
    <n v="114.2"/>
    <n v="117.9"/>
    <n v="122"/>
    <n v="113"/>
    <n v="117.9"/>
    <x v="70"/>
    <n v="1617.8999999999999"/>
    <n v="381.5"/>
    <n v="354.1"/>
    <n v="233.4"/>
    <n v="364.4"/>
    <n v="246.1"/>
  </r>
  <r>
    <s v="Urban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x v="71"/>
    <n v="1636.6"/>
    <n v="363.1"/>
    <n v="351.7"/>
    <n v="227.9"/>
    <n v="353.3"/>
    <n v="248.1"/>
  </r>
  <r>
    <s v="Rural+Urban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x v="72"/>
    <n v="1623.5"/>
    <n v="374.1"/>
    <n v="352.9"/>
    <n v="231.3"/>
    <n v="359.9"/>
    <n v="246.2"/>
  </r>
  <r>
    <s v="Rural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19.9"/>
    <n v="123"/>
    <n v="123"/>
    <n v="120.8"/>
    <n v="114.1"/>
    <n v="118"/>
    <n v="122.9"/>
    <n v="112.7"/>
    <n v="118.1"/>
    <x v="73"/>
    <n v="1625.3"/>
    <n v="382.6"/>
    <n v="355"/>
    <n v="233.5"/>
    <n v="365.9"/>
    <n v="247.5"/>
  </r>
  <r>
    <s v="Urban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x v="68"/>
    <n v="1642.9"/>
    <n v="364.1"/>
    <n v="353.5"/>
    <n v="227.7"/>
    <n v="354.7"/>
    <n v="249.39999999999998"/>
  </r>
  <r>
    <s v="Rural+Urban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x v="74"/>
    <n v="1630.6000000000001"/>
    <n v="375.1"/>
    <n v="354.3"/>
    <n v="231.3"/>
    <n v="361.3"/>
    <n v="247.60000000000002"/>
  </r>
  <r>
    <s v="Rural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20.9"/>
    <n v="123.8"/>
    <n v="123.7"/>
    <n v="121.1"/>
    <n v="113.6"/>
    <n v="118.5"/>
    <n v="123.6"/>
    <n v="112.5"/>
    <n v="118.2"/>
    <x v="75"/>
    <n v="1646.6"/>
    <n v="384.8"/>
    <n v="355.7"/>
    <n v="233.6"/>
    <n v="368.4"/>
    <n v="248.3"/>
  </r>
  <r>
    <s v="Urban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x v="76"/>
    <n v="1658.8999999999996"/>
    <n v="364.8"/>
    <n v="353.3"/>
    <n v="228.6"/>
    <n v="356.2"/>
    <n v="250.39999999999998"/>
  </r>
  <r>
    <s v="Rural+Urban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x v="77"/>
    <n v="1649.6000000000001"/>
    <n v="376.70000000000005"/>
    <n v="354.6"/>
    <n v="231.7"/>
    <n v="363.5"/>
    <n v="248.39999999999998"/>
  </r>
  <r>
    <s v="Rural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21.6"/>
    <n v="123.7"/>
    <n v="124.5"/>
    <n v="121.4"/>
    <n v="113.8"/>
    <n v="119.6"/>
    <n v="124.5"/>
    <n v="113.7"/>
    <n v="118.8"/>
    <x v="78"/>
    <n v="1657.6"/>
    <n v="387.1"/>
    <n v="357.9"/>
    <n v="235.10000000000002"/>
    <n v="369.8"/>
    <n v="249.8"/>
  </r>
  <r>
    <s v="Urban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x v="79"/>
    <n v="1664.8"/>
    <n v="365.8"/>
    <n v="352.9"/>
    <n v="230"/>
    <n v="357.1"/>
    <n v="250.89999999999998"/>
  </r>
  <r>
    <s v="Rural+Urban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x v="80"/>
    <n v="1658.3000000000002"/>
    <n v="378.5"/>
    <n v="355.3"/>
    <n v="233.2"/>
    <n v="364.6"/>
    <n v="249.5"/>
  </r>
  <r>
    <s v="Rural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22.4"/>
    <n v="124.4"/>
    <n v="125.1"/>
    <n v="122"/>
    <n v="113.8"/>
    <n v="120.1"/>
    <n v="125.1"/>
    <n v="114.2"/>
    <n v="119.2"/>
    <x v="81"/>
    <n v="1674.6000000000001"/>
    <n v="389"/>
    <n v="359"/>
    <n v="236.2"/>
    <n v="371.9"/>
    <n v="250.7"/>
  </r>
  <r>
    <s v="Urban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x v="82"/>
    <n v="1692.7999999999997"/>
    <n v="366.79999999999995"/>
    <n v="353.5"/>
    <n v="231.2"/>
    <n v="358"/>
    <n v="251.8"/>
  </r>
  <r>
    <s v="Rural+Urban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x v="75"/>
    <n v="1679"/>
    <n v="380.1"/>
    <n v="356"/>
    <n v="234.3"/>
    <n v="366.2"/>
    <n v="250.4"/>
  </r>
  <r>
    <s v="Rural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22.9"/>
    <n v="125.6"/>
    <n v="125.6"/>
    <n v="122.6"/>
    <n v="114"/>
    <n v="120.9"/>
    <n v="125.8"/>
    <n v="114.2"/>
    <n v="119.6"/>
    <x v="83"/>
    <n v="1686.2999999999997"/>
    <n v="391.79999999999995"/>
    <n v="360.70000000000005"/>
    <n v="236.8"/>
    <n v="374.1"/>
    <n v="251.79999999999998"/>
  </r>
  <r>
    <s v="Urban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x v="84"/>
    <n v="1708.4999999999998"/>
    <n v="368.5"/>
    <n v="353.79999999999995"/>
    <n v="231.39999999999998"/>
    <n v="359"/>
    <n v="254.2"/>
  </r>
  <r>
    <s v="Rural+Urban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x v="85"/>
    <n v="1692.1"/>
    <n v="382.4"/>
    <n v="357"/>
    <n v="234.7"/>
    <n v="367.9"/>
    <n v="251.7"/>
  </r>
  <r>
    <s v="Rural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22.4"/>
    <n v="125.7"/>
    <n v="126"/>
    <n v="123.1"/>
    <n v="114"/>
    <n v="121.6"/>
    <n v="125.6"/>
    <n v="114.1"/>
    <n v="119.8"/>
    <x v="86"/>
    <n v="1682.2999999999997"/>
    <n v="392.9"/>
    <n v="361.2"/>
    <n v="237.2"/>
    <n v="374.1"/>
    <n v="252.89999999999998"/>
  </r>
  <r>
    <s v="Urban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x v="87"/>
    <n v="1698.8"/>
    <n v="369.4"/>
    <n v="354"/>
    <n v="231.8"/>
    <n v="359.4"/>
    <n v="254.89999999999998"/>
  </r>
  <r>
    <s v="Rural+Urban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x v="75"/>
    <n v="1686.1000000000001"/>
    <n v="383.5"/>
    <n v="357.29999999999995"/>
    <n v="235.10000000000002"/>
    <n v="368"/>
    <n v="252.8"/>
  </r>
  <r>
    <s v="Rural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23.4"/>
    <n v="126.2"/>
    <n v="126.6"/>
    <n v="123.7"/>
    <n v="113.6"/>
    <n v="121.4"/>
    <n v="126.2"/>
    <n v="114.9"/>
    <n v="120.1"/>
    <x v="88"/>
    <n v="1690.1000000000001"/>
    <n v="394.70000000000005"/>
    <n v="361.20000000000005"/>
    <n v="238.60000000000002"/>
    <n v="376.20000000000005"/>
    <n v="253.7"/>
  </r>
  <r>
    <s v="Urban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x v="82"/>
    <n v="1701.4000000000003"/>
    <n v="370.5"/>
    <n v="353.8"/>
    <n v="233.1"/>
    <n v="361.9"/>
    <n v="256.3"/>
  </r>
  <r>
    <s v="Rural+Urban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x v="89"/>
    <n v="1691.6999999999998"/>
    <n v="384.9"/>
    <n v="357.2"/>
    <n v="236.5"/>
    <n v="370.3"/>
    <n v="253.7"/>
  </r>
  <r>
    <s v="Rural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24.4"/>
    <n v="127.5"/>
    <n v="127.1"/>
    <n v="124.3"/>
    <n v="113.9"/>
    <n v="122.3"/>
    <n v="127.1"/>
    <n v="116.8"/>
    <n v="120.9"/>
    <x v="86"/>
    <n v="1682.6000000000001"/>
    <n v="397.1"/>
    <n v="363.3"/>
    <n v="241.1"/>
    <n v="379"/>
    <n v="255.3"/>
  </r>
  <r>
    <s v="Urban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x v="90"/>
    <n v="1676.0999999999997"/>
    <n v="371.6"/>
    <n v="354.2"/>
    <n v="235.7"/>
    <n v="362.2"/>
    <n v="257.2"/>
  </r>
  <r>
    <s v="Rural+Urban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x v="91"/>
    <n v="1678.1000000000001"/>
    <n v="386.9"/>
    <n v="358.3"/>
    <n v="239.1"/>
    <n v="372.1"/>
    <n v="255"/>
  </r>
  <r>
    <s v="Rural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24.9"/>
    <n v="127"/>
    <n v="127.7"/>
    <n v="124.8"/>
    <n v="113.6"/>
    <n v="122.5"/>
    <n v="127.5"/>
    <n v="117.4"/>
    <n v="121.1"/>
    <x v="92"/>
    <n v="1682.6999999999998"/>
    <n v="398.40000000000003"/>
    <n v="363.6"/>
    <n v="242.2"/>
    <n v="379.6"/>
    <n v="256.10000000000002"/>
  </r>
  <r>
    <s v="Urban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x v="90"/>
    <n v="1667.6000000000001"/>
    <n v="372.2"/>
    <n v="354"/>
    <n v="236.8"/>
    <n v="362"/>
    <n v="257.89999999999998"/>
  </r>
  <r>
    <s v="Rural+Urban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x v="91"/>
    <n v="1675.1999999999998"/>
    <n v="387.9"/>
    <n v="358.4"/>
    <n v="240.2"/>
    <n v="372.4"/>
    <n v="255.8"/>
  </r>
  <r>
    <s v="Rural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25.6"/>
    <n v="127"/>
    <n v="128"/>
    <n v="125.2"/>
    <n v="114.4"/>
    <n v="123.2"/>
    <n v="127.9"/>
    <n v="118.4"/>
    <n v="121.7"/>
    <x v="93"/>
    <n v="1701.6000000000004"/>
    <n v="400"/>
    <n v="365.5"/>
    <n v="243.60000000000002"/>
    <n v="380.6"/>
    <n v="257.2"/>
  </r>
  <r>
    <s v="Urban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x v="94"/>
    <n v="1706.3000000000002"/>
    <n v="373.1"/>
    <n v="357.1"/>
    <n v="237.6"/>
    <n v="363"/>
    <n v="259.7"/>
  </r>
  <r>
    <s v="Rural+Urban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x v="95"/>
    <n v="1701.3"/>
    <n v="389.20000000000005"/>
    <n v="360.9"/>
    <n v="241.3"/>
    <n v="373.4"/>
    <n v="257.10000000000002"/>
  </r>
  <r>
    <s v="Rural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26"/>
    <n v="127.4"/>
    <n v="128.5"/>
    <n v="125.8"/>
    <n v="115.1"/>
    <n v="123.6"/>
    <n v="129.1"/>
    <n v="119.7"/>
    <n v="122.5"/>
    <x v="96"/>
    <n v="1723.7"/>
    <n v="401.3"/>
    <n v="367.79999999999995"/>
    <n v="245.5"/>
    <n v="381.9"/>
    <n v="258.5"/>
  </r>
  <r>
    <s v="Urban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x v="85"/>
    <n v="1746.7999999999997"/>
    <n v="374.1"/>
    <n v="358.5"/>
    <n v="238.8"/>
    <n v="364.2"/>
    <n v="260.89999999999998"/>
  </r>
  <r>
    <s v="Rural+Urban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x v="97"/>
    <n v="1730.4"/>
    <n v="390.4"/>
    <n v="362.8"/>
    <n v="242.9"/>
    <n v="374.7"/>
    <n v="258.39999999999998"/>
  </r>
  <r>
    <s v="Rural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25.5"/>
    <n v="128"/>
    <n v="129.30000000000001"/>
    <n v="126.2"/>
    <n v="116.3"/>
    <n v="124.1"/>
    <n v="130.19999999999999"/>
    <n v="119.9"/>
    <n v="123.3"/>
    <x v="98"/>
    <n v="1748.5999999999997"/>
    <n v="403.5"/>
    <n v="370.6"/>
    <n v="246.10000000000002"/>
    <n v="382.8"/>
    <n v="260.5"/>
  </r>
  <r>
    <s v="Urban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x v="88"/>
    <n v="1787.0000000000002"/>
    <n v="375.29999999999995"/>
    <n v="361.5"/>
    <n v="239.39999999999998"/>
    <n v="364.2"/>
    <n v="262.29999999999995"/>
  </r>
  <r>
    <s v="Rural+Urban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x v="99"/>
    <n v="1760.6"/>
    <n v="392.1"/>
    <n v="365.59999999999997"/>
    <n v="243.5"/>
    <n v="375.20000000000005"/>
    <n v="260.2"/>
  </r>
  <r>
    <s v="Rural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26.4"/>
    <n v="128.19999999999999"/>
    <n v="130"/>
    <n v="126.7"/>
    <n v="116.4"/>
    <n v="125.2"/>
    <n v="130.80000000000001"/>
    <n v="120.9"/>
    <n v="123.8"/>
    <x v="100"/>
    <n v="1770.3"/>
    <n v="405.9"/>
    <n v="372.40000000000003"/>
    <n v="247.60000000000002"/>
    <n v="384.6"/>
    <n v="261.8"/>
  </r>
  <r>
    <s v="Urban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x v="93"/>
    <n v="1811.4999999999998"/>
    <n v="375.9"/>
    <n v="362.8"/>
    <n v="240.9"/>
    <n v="365.4"/>
    <n v="262.8"/>
  </r>
  <r>
    <s v="Rural+Urban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x v="101"/>
    <n v="1783.5"/>
    <n v="393.8"/>
    <n v="367.1"/>
    <n v="245"/>
    <n v="376.70000000000005"/>
    <n v="261.20000000000005"/>
  </r>
  <r>
    <s v="Rural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27.3"/>
    <n v="129.1"/>
    <n v="130.6"/>
    <n v="127"/>
    <n v="116"/>
    <n v="125.5"/>
    <n v="131.9"/>
    <n v="122"/>
    <n v="124.2"/>
    <x v="102"/>
    <n v="1777.4999999999998"/>
    <n v="407.9"/>
    <n v="373.4"/>
    <n v="249"/>
    <n v="387"/>
    <n v="263.10000000000002"/>
  </r>
  <r>
    <s v="Urban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x v="103"/>
    <n v="1784"/>
    <n v="377"/>
    <n v="362.5"/>
    <n v="242.10000000000002"/>
    <n v="365.9"/>
    <n v="263.5"/>
  </r>
  <r>
    <s v="Rural+Urban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x v="101"/>
    <n v="1777.8999999999999"/>
    <n v="395.49999999999994"/>
    <n v="367.5"/>
    <n v="246.3"/>
    <n v="378.29999999999995"/>
    <n v="262.29999999999995"/>
  </r>
  <r>
    <s v="Rural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27.9"/>
    <n v="129.69999999999999"/>
    <n v="131.1"/>
    <n v="127.8"/>
    <n v="117"/>
    <n v="125.7"/>
    <n v="132.19999999999999"/>
    <n v="122.8"/>
    <n v="124.9"/>
    <x v="104"/>
    <n v="1770.7"/>
    <n v="409.8"/>
    <n v="374.9"/>
    <n v="250.6"/>
    <n v="388.70000000000005"/>
    <n v="264.8"/>
  </r>
  <r>
    <s v="Urban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x v="92"/>
    <n v="1756.3999999999999"/>
    <n v="378"/>
    <n v="364.2"/>
    <n v="242.60000000000002"/>
    <n v="367"/>
    <n v="264.39999999999998"/>
  </r>
  <r>
    <s v="Rural+Urban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x v="105"/>
    <n v="1763.7"/>
    <n v="397"/>
    <n v="369"/>
    <n v="247.5"/>
    <n v="379.9"/>
    <n v="263.8"/>
  </r>
  <r>
    <s v="Rural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28.69999999999999"/>
    <n v="129.80000000000001"/>
    <n v="131.80000000000001"/>
    <n v="128.69999999999999"/>
    <n v="117.8"/>
    <n v="126.5"/>
    <n v="133"/>
    <n v="123"/>
    <n v="125.7"/>
    <x v="106"/>
    <n v="1771.7999999999997"/>
    <n v="412.7"/>
    <n v="377.3"/>
    <n v="251.7"/>
    <n v="390.3"/>
    <n v="266.60000000000002"/>
  </r>
  <r>
    <s v="Urban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x v="97"/>
    <n v="1762.9"/>
    <n v="379"/>
    <n v="365.9"/>
    <n v="242.6"/>
    <n v="368.4"/>
    <n v="265.20000000000005"/>
  </r>
  <r>
    <s v="Rural+Urban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x v="107"/>
    <n v="1766.8000000000002"/>
    <n v="399.1"/>
    <n v="371.1"/>
    <n v="248.2"/>
    <n v="381.4"/>
    <n v="265.20000000000005"/>
  </r>
  <r>
    <s v="Rural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29.1"/>
    <n v="130.30000000000001"/>
    <n v="132.1"/>
    <n v="129.1"/>
    <n v="118.2"/>
    <n v="126.9"/>
    <n v="133.69999999999999"/>
    <n v="123.5"/>
    <n v="126.1"/>
    <x v="108"/>
    <n v="1764.6000000000001"/>
    <n v="413.59999999999997"/>
    <n v="378.79999999999995"/>
    <n v="252.6"/>
    <n v="391.5"/>
    <n v="267.29999999999995"/>
  </r>
  <r>
    <s v="Urban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x v="109"/>
    <n v="1755.2"/>
    <n v="380.2"/>
    <n v="367.2"/>
    <n v="243.39999999999998"/>
    <n v="370"/>
    <n v="265.60000000000002"/>
  </r>
  <r>
    <s v="Rural+Urban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x v="110"/>
    <n v="1759.8"/>
    <n v="400.1"/>
    <n v="372.5"/>
    <n v="249"/>
    <n v="382.7"/>
    <n v="265.8"/>
  </r>
  <r>
    <s v="Rural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28.5"/>
    <n v="132"/>
    <n v="132.9"/>
    <n v="129.69999999999999"/>
    <n v="118.6"/>
    <n v="127.3"/>
    <n v="134.19999999999999"/>
    <n v="121.9"/>
    <n v="126.3"/>
    <x v="111"/>
    <n v="1749.0999999999995"/>
    <n v="415.3"/>
    <n v="380.09999999999997"/>
    <n v="251.6"/>
    <n v="393.4"/>
    <n v="268.7"/>
  </r>
  <r>
    <s v="Urban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x v="112"/>
    <n v="1729.8000000000002"/>
    <n v="381"/>
    <n v="367.8"/>
    <n v="242.2"/>
    <n v="371.3"/>
    <n v="266.39999999999998"/>
  </r>
  <r>
    <s v="Rural+Urban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x v="113"/>
    <n v="1740.6999999999996"/>
    <n v="401.5"/>
    <n v="373.3"/>
    <n v="248"/>
    <n v="384.29999999999995"/>
    <n v="267"/>
  </r>
  <r>
    <s v="Rural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29.6"/>
    <n v="132.1"/>
    <n v="133.19999999999999"/>
    <n v="129.9"/>
    <n v="119.1"/>
    <n v="127"/>
    <n v="134.6"/>
    <n v="122.3"/>
    <n v="126.6"/>
    <x v="114"/>
    <n v="1737.3"/>
    <n v="416.5"/>
    <n v="380.7"/>
    <n v="252.2"/>
    <n v="394.9"/>
    <n v="269.7"/>
  </r>
  <r>
    <s v="Urban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x v="115"/>
    <n v="1713.2"/>
    <n v="381.5"/>
    <n v="369.6"/>
    <n v="243.5"/>
    <n v="372.7"/>
    <n v="267.7"/>
  </r>
  <r>
    <s v="Rural+Urban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x v="96"/>
    <n v="1727.3"/>
    <n v="402.4"/>
    <n v="374.5"/>
    <n v="248.8"/>
    <n v="385.79999999999995"/>
    <n v="268.20000000000005"/>
  </r>
  <r>
    <s v="Rural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0.5"/>
    <n v="133.19999999999999"/>
    <n v="133.6"/>
    <n v="130.1"/>
    <n v="119.5"/>
    <n v="127.7"/>
    <n v="134.9"/>
    <n v="123.2"/>
    <n v="127"/>
    <x v="116"/>
    <n v="1734.4999999999998"/>
    <n v="416.90000000000003"/>
    <n v="382.1"/>
    <n v="253.3"/>
    <n v="397.29999999999995"/>
    <n v="270.7"/>
  </r>
  <r>
    <s v="Urban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x v="117"/>
    <n v="1705.3"/>
    <n v="382.3"/>
    <n v="370.1"/>
    <n v="244.60000000000002"/>
    <n v="375"/>
    <n v="268.70000000000005"/>
  </r>
  <r>
    <s v="Rural+Urban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x v="118"/>
    <n v="1722.2999999999997"/>
    <n v="403"/>
    <n v="375.4"/>
    <n v="250"/>
    <n v="388.09999999999997"/>
    <n v="269.2"/>
  </r>
  <r>
    <s v="Rural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1.1"/>
    <n v="134.19999999999999"/>
    <n v="134.1"/>
    <n v="130.6"/>
    <n v="119.8"/>
    <n v="128.30000000000001"/>
    <n v="135.19999999999999"/>
    <n v="123.3"/>
    <n v="127.4"/>
    <x v="111"/>
    <n v="1728.4999999999998"/>
    <n v="418.59999999999997"/>
    <n v="383.3"/>
    <n v="253.89999999999998"/>
    <n v="399.4"/>
    <n v="271.60000000000002"/>
  </r>
  <r>
    <s v="Urban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x v="119"/>
    <n v="1705.7000000000003"/>
    <n v="383.20000000000005"/>
    <n v="370.8"/>
    <n v="244.8"/>
    <n v="377.5"/>
    <n v="270.10000000000002"/>
  </r>
  <r>
    <s v="Rural+Urban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x v="105"/>
    <n v="1718.8999999999999"/>
    <n v="404.29999999999995"/>
    <n v="376.4"/>
    <n v="250.39999999999998"/>
    <n v="390.29999999999995"/>
    <n v="270.2"/>
  </r>
  <r>
    <s v="Rural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1.69999999999999"/>
    <n v="135"/>
    <n v="134.30000000000001"/>
    <n v="131"/>
    <n v="119.2"/>
    <n v="128.30000000000001"/>
    <n v="135.69999999999999"/>
    <n v="123.7"/>
    <n v="127.5"/>
    <x v="120"/>
    <n v="1726.3"/>
    <n v="420.80000000000007"/>
    <n v="383.2"/>
    <n v="254.7"/>
    <n v="401"/>
    <n v="271.89999999999998"/>
  </r>
  <r>
    <s v="Urban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x v="121"/>
    <n v="1708.1"/>
    <n v="384.2"/>
    <n v="370.5"/>
    <n v="245.60000000000002"/>
    <n v="379.1"/>
    <n v="270.5"/>
  </r>
  <r>
    <s v="Rural+Urban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x v="101"/>
    <n v="1718.4"/>
    <n v="406.1"/>
    <n v="376.2"/>
    <n v="251.2"/>
    <n v="391.9"/>
    <n v="270.5"/>
  </r>
  <r>
    <s v="Rural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2.1"/>
    <n v="135"/>
    <n v="134.9"/>
    <n v="131.4"/>
    <n v="119.4"/>
    <n v="129.4"/>
    <n v="136.30000000000001"/>
    <n v="123.7"/>
    <n v="127.9"/>
    <x v="122"/>
    <n v="1727.5"/>
    <n v="421.6"/>
    <n v="385.1"/>
    <n v="255.10000000000002"/>
    <n v="402"/>
    <n v="273.39999999999998"/>
  </r>
  <r>
    <s v="Urban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x v="123"/>
    <n v="1709.6"/>
    <n v="384.9"/>
    <n v="370.90000000000003"/>
    <n v="245.6"/>
    <n v="378.7"/>
    <n v="270.89999999999998"/>
  </r>
  <r>
    <s v="Rural+Urban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x v="107"/>
    <n v="1719.6"/>
    <n v="406.8"/>
    <n v="377.2"/>
    <n v="251.4"/>
    <n v="392.4"/>
    <n v="271.5"/>
  </r>
  <r>
    <s v="Rural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1.4"/>
    <n v="134.80000000000001"/>
    <n v="135.19999999999999"/>
    <n v="131.30000000000001"/>
    <n v="119.4"/>
    <n v="129.80000000000001"/>
    <n v="136.9"/>
    <n v="124.1"/>
    <n v="128.1"/>
    <x v="124"/>
    <n v="1738.8"/>
    <n v="423.09999999999997"/>
    <n v="386.1"/>
    <n v="255.4"/>
    <n v="401.40000000000003"/>
    <n v="273.89999999999998"/>
  </r>
  <r>
    <s v="Urban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x v="125"/>
    <n v="1731"/>
    <n v="384.9"/>
    <n v="371.1"/>
    <n v="246.3"/>
    <n v="377.2"/>
    <n v="271.3"/>
  </r>
  <r>
    <s v="Rural+Urban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x v="126"/>
    <n v="1734.6999999999998"/>
    <n v="407.7"/>
    <n v="377.8"/>
    <n v="251.9"/>
    <n v="391.40000000000003"/>
    <n v="272"/>
  </r>
  <r>
    <s v="Rural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2.6"/>
    <n v="135.30000000000001"/>
    <n v="136.1"/>
    <n v="132.1"/>
    <n v="119.1"/>
    <n v="130.6"/>
    <n v="138.6"/>
    <n v="124.4"/>
    <n v="128.6"/>
    <x v="127"/>
    <n v="1772.9"/>
    <n v="425.9"/>
    <n v="388.29999999999995"/>
    <n v="256.5"/>
    <n v="404"/>
    <n v="276"/>
  </r>
  <r>
    <s v="Urban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x v="128"/>
    <n v="1768.1000000000004"/>
    <n v="385.70000000000005"/>
    <n v="372.2"/>
    <n v="247.4"/>
    <n v="379.5"/>
    <n v="273.5"/>
  </r>
  <r>
    <s v="Rural+Urban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x v="129"/>
    <n v="1769.3999999999999"/>
    <n v="409.7"/>
    <n v="379.4"/>
    <n v="253"/>
    <n v="393.9"/>
    <n v="274.10000000000002"/>
  </r>
  <r>
    <s v="Rural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4.4"/>
    <n v="136.4"/>
    <n v="137.30000000000001"/>
    <n v="133"/>
    <n v="120.3"/>
    <n v="131.5"/>
    <n v="140.19999999999999"/>
    <n v="125.4"/>
    <n v="129.69999999999999"/>
    <x v="130"/>
    <n v="1792.4999999999998"/>
    <n v="429"/>
    <n v="392"/>
    <n v="258.39999999999998"/>
    <n v="408.1"/>
    <n v="278.7"/>
  </r>
  <r>
    <s v="Urban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x v="131"/>
    <n v="1773"/>
    <n v="388.4"/>
    <n v="374.4"/>
    <n v="249"/>
    <n v="381"/>
    <n v="275.89999999999998"/>
  </r>
  <r>
    <s v="Rural+Urban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x v="132"/>
    <n v="1783.7999999999997"/>
    <n v="412.6"/>
    <n v="382.2"/>
    <n v="254.7"/>
    <n v="397.00000000000006"/>
    <n v="276.60000000000002"/>
  </r>
  <r>
    <s v="Rural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5.69999999999999"/>
    <n v="137.4"/>
    <n v="137.9"/>
    <n v="133.4"/>
    <n v="121.2"/>
    <n v="132.30000000000001"/>
    <n v="139.6"/>
    <n v="126.7"/>
    <n v="130.30000000000001"/>
    <x v="133"/>
    <n v="1784.3000000000002"/>
    <n v="430.99999999999994"/>
    <n v="393.1"/>
    <n v="260.10000000000002"/>
    <n v="411"/>
    <n v="280.10000000000002"/>
  </r>
  <r>
    <s v="Urban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x v="114"/>
    <n v="1749.7"/>
    <n v="389.9"/>
    <n v="376.1"/>
    <n v="250.5"/>
    <n v="384.4"/>
    <n v="278.10000000000002"/>
  </r>
  <r>
    <s v="Rural+Urban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x v="134"/>
    <n v="1770.0000000000002"/>
    <n v="414.5"/>
    <n v="383.6"/>
    <n v="256.3"/>
    <n v="400"/>
    <n v="278.3"/>
  </r>
  <r>
    <s v="Rural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7.30000000000001"/>
    <n v="138.1"/>
    <n v="138.4"/>
    <n v="134.19999999999999"/>
    <n v="121"/>
    <n v="133"/>
    <n v="140.1"/>
    <n v="127.4"/>
    <n v="130.69999999999999"/>
    <x v="135"/>
    <n v="1790.9000000000003"/>
    <n v="433.99999999999994"/>
    <n v="394.1"/>
    <n v="261.60000000000002"/>
    <n v="413.79999999999995"/>
    <n v="281.2"/>
  </r>
  <r>
    <s v="Urban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x v="102"/>
    <n v="1765.7"/>
    <n v="391.5"/>
    <n v="376.1"/>
    <n v="251.2"/>
    <n v="388.2"/>
    <n v="279.10000000000002"/>
  </r>
  <r>
    <s v="Rural+Urban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x v="136"/>
    <n v="1779.7"/>
    <n v="416.90000000000003"/>
    <n v="384.1"/>
    <n v="257.5"/>
    <n v="403.1"/>
    <n v="279.3"/>
  </r>
  <r>
    <s v="Rural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8.6"/>
    <n v="141.1"/>
    <n v="139.4"/>
    <n v="135.80000000000001"/>
    <n v="121.6"/>
    <n v="133.69999999999999"/>
    <n v="141.5"/>
    <n v="128.1"/>
    <n v="131.69999999999999"/>
    <x v="137"/>
    <n v="1817.6999999999998"/>
    <n v="437"/>
    <n v="396.8"/>
    <n v="263.89999999999998"/>
    <n v="419.1"/>
    <n v="283.79999999999995"/>
  </r>
  <r>
    <s v="Urban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x v="138"/>
    <n v="1796.7"/>
    <n v="393.9"/>
    <n v="377"/>
    <n v="252.3"/>
    <n v="393.1"/>
    <n v="281.10000000000002"/>
  </r>
  <r>
    <s v="Rural+Urban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x v="133"/>
    <n v="1808.2000000000003"/>
    <n v="419.6"/>
    <n v="385.79999999999995"/>
    <n v="259.39999999999998"/>
    <n v="408.29999999999995"/>
    <n v="281.60000000000002"/>
  </r>
  <r>
    <s v="Rural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1"/>
    <n v="142.6"/>
    <n v="139.5"/>
    <n v="136.1"/>
    <n v="122"/>
    <n v="133.4"/>
    <n v="141.1"/>
    <n v="127.8"/>
    <n v="131.9"/>
    <x v="139"/>
    <n v="1813.6000000000001"/>
    <n v="437.09999999999997"/>
    <n v="396.5"/>
    <n v="263.89999999999998"/>
    <n v="421.2"/>
    <n v="285.10000000000002"/>
  </r>
  <r>
    <s v="Urban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x v="140"/>
    <n v="1767.5000000000002"/>
    <n v="395.2"/>
    <n v="377.6"/>
    <n v="252.79999999999998"/>
    <n v="395.2"/>
    <n v="282.10000000000002"/>
  </r>
  <r>
    <s v="Rural+Urban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x v="141"/>
    <n v="1795"/>
    <n v="420.2"/>
    <n v="386"/>
    <n v="259.60000000000002"/>
    <n v="410.4"/>
    <n v="282.79999999999995"/>
  </r>
  <r>
    <s v="Rural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40.4"/>
    <n v="142.30000000000001"/>
    <n v="139.80000000000001"/>
    <n v="136"/>
    <n v="122.7"/>
    <n v="134.30000000000001"/>
    <n v="141.6"/>
    <n v="128.6"/>
    <n v="132.30000000000001"/>
    <x v="142"/>
    <n v="1800.7"/>
    <n v="438.1"/>
    <n v="398.6"/>
    <n v="264.60000000000002"/>
    <n v="422.50000000000006"/>
    <n v="285.89999999999998"/>
  </r>
  <r>
    <s v="Urban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x v="140"/>
    <n v="1748.2999999999997"/>
    <n v="396.29999999999995"/>
    <n v="379.59999999999997"/>
    <n v="254.5"/>
    <n v="397.2"/>
    <n v="283.5"/>
  </r>
  <r>
    <s v="Rural+Urban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x v="143"/>
    <n v="1779.9"/>
    <n v="421.3"/>
    <n v="388"/>
    <n v="260.60000000000002"/>
    <n v="411.9"/>
    <n v="283.79999999999995"/>
  </r>
  <r>
    <s v="Rural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41.30000000000001"/>
    <n v="142.4"/>
    <n v="139.9"/>
    <n v="136.19999999999999"/>
    <n v="123.3"/>
    <n v="134.30000000000001"/>
    <n v="141.5"/>
    <n v="128.80000000000001"/>
    <n v="132.5"/>
    <x v="144"/>
    <n v="1781.5"/>
    <n v="438.90000000000003"/>
    <n v="399.1"/>
    <n v="265"/>
    <n v="423.6"/>
    <n v="285.8"/>
  </r>
  <r>
    <s v="Urban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x v="145"/>
    <n v="1727.9"/>
    <n v="397.09999999999997"/>
    <n v="381.1"/>
    <n v="256"/>
    <n v="398.5"/>
    <n v="285.8"/>
  </r>
  <r>
    <s v="Rural+Urban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x v="146"/>
    <n v="1760.4"/>
    <n v="422"/>
    <n v="389.1"/>
    <n v="261.5"/>
    <n v="413.2"/>
    <n v="284.5"/>
  </r>
  <r>
    <s v="Rural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42"/>
    <n v="142.6"/>
    <n v="139.9"/>
    <n v="136.69999999999999"/>
    <n v="124.6"/>
    <n v="135.1"/>
    <n v="142.69999999999999"/>
    <n v="129.30000000000001"/>
    <n v="133.30000000000001"/>
    <x v="147"/>
    <n v="1782"/>
    <n v="440.5"/>
    <n v="402.4"/>
    <n v="266"/>
    <n v="424.5"/>
    <n v="288.39999999999998"/>
  </r>
  <r>
    <s v="Urban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x v="145"/>
    <n v="1715.5"/>
    <n v="398.59999999999997"/>
    <n v="382.40000000000003"/>
    <n v="257.2"/>
    <n v="399.2"/>
    <n v="286.79999999999995"/>
  </r>
  <r>
    <s v="Rural+Urban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x v="148"/>
    <n v="1756"/>
    <n v="423.6"/>
    <n v="391.20000000000005"/>
    <n v="262.5"/>
    <n v="414.1"/>
    <n v="286.60000000000002"/>
  </r>
  <r>
    <s v="Rural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42.9"/>
    <n v="143.80000000000001"/>
    <n v="140.9"/>
    <n v="137.6"/>
    <n v="125.3"/>
    <n v="136"/>
    <n v="143.69999999999999"/>
    <n v="130.4"/>
    <n v="134.19999999999999"/>
    <x v="149"/>
    <n v="1780.0000000000002"/>
    <n v="442.5"/>
    <n v="405"/>
    <n v="268"/>
    <n v="427.6"/>
    <n v="290.29999999999995"/>
  </r>
  <r>
    <s v="Urban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x v="138"/>
    <n v="1719.9999999999998"/>
    <n v="401.40000000000003"/>
    <n v="386.20000000000005"/>
    <n v="258.89999999999998"/>
    <n v="399.3"/>
    <n v="287.39999999999998"/>
  </r>
  <r>
    <s v="Rural+Urban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x v="150"/>
    <n v="1757.1000000000004"/>
    <n v="426"/>
    <n v="394.6"/>
    <n v="264.39999999999998"/>
    <n v="416"/>
    <n v="288.20000000000005"/>
  </r>
  <r>
    <s v="Rural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43.19999999999999"/>
    <n v="144.30000000000001"/>
    <n v="141.80000000000001"/>
    <n v="138.4"/>
    <n v="126.4"/>
    <n v="136.80000000000001"/>
    <n v="144.4"/>
    <n v="131.19999999999999"/>
    <n v="135.1"/>
    <x v="139"/>
    <n v="1782.4"/>
    <n v="444.7"/>
    <n v="407.6"/>
    <n v="269.60000000000002"/>
    <n v="429.3"/>
    <n v="292.10000000000002"/>
  </r>
  <r>
    <s v="Urban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x v="132"/>
    <n v="1722.9"/>
    <n v="403.5"/>
    <n v="388.2"/>
    <n v="260.10000000000002"/>
    <n v="400.4"/>
    <n v="289.20000000000005"/>
  </r>
  <r>
    <s v="Rural+Urban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x v="130"/>
    <n v="1759.7999999999995"/>
    <n v="428.09999999999997"/>
    <n v="396.8"/>
    <n v="265.89999999999998"/>
    <n v="417.5"/>
    <n v="290"/>
  </r>
  <r>
    <s v="Rural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42.5"/>
    <n v="145.1"/>
    <n v="142.19999999999999"/>
    <n v="138.4"/>
    <n v="127.4"/>
    <n v="137.80000000000001"/>
    <n v="145.1"/>
    <n v="131.4"/>
    <n v="135.6"/>
    <x v="151"/>
    <n v="1790.3"/>
    <n v="446.3"/>
    <n v="410.3"/>
    <n v="269.8"/>
    <n v="429.8"/>
    <n v="292.89999999999998"/>
  </r>
  <r>
    <s v="Urban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x v="127"/>
    <n v="1747.2999999999997"/>
    <n v="405"/>
    <n v="390.1"/>
    <n v="260.79999999999995"/>
    <n v="402.1"/>
    <n v="290.5"/>
  </r>
  <r>
    <s v="Rural+Urban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x v="144"/>
    <n v="1774.1000000000001"/>
    <n v="429.7"/>
    <n v="399.1"/>
    <n v="266.29999999999995"/>
    <n v="418.5"/>
    <n v="290.89999999999998"/>
  </r>
  <r>
    <s v="Rural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43.6"/>
    <n v="146.80000000000001"/>
    <n v="143.1"/>
    <n v="139"/>
    <n v="127.5"/>
    <n v="138.4"/>
    <n v="145.80000000000001"/>
    <n v="131.4"/>
    <n v="136"/>
    <x v="152"/>
    <n v="1810.4999999999998"/>
    <n v="447.20000000000005"/>
    <n v="411.70000000000005"/>
    <n v="270.39999999999998"/>
    <n v="433.5"/>
    <n v="292.10000000000002"/>
  </r>
  <r>
    <s v="Urban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x v="153"/>
    <n v="1771.1"/>
    <n v="406.4"/>
    <n v="393.1"/>
    <n v="261.79999999999995"/>
    <n v="405.29999999999995"/>
    <n v="291.60000000000002"/>
  </r>
  <r>
    <s v="Rural+Urban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x v="139"/>
    <n v="1795.3000000000002"/>
    <n v="430.80000000000007"/>
    <n v="401.4"/>
    <n v="267.10000000000002"/>
    <n v="421.9"/>
    <n v="290.7"/>
  </r>
  <r>
    <s v="Rural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44.6"/>
    <n v="147.69999999999999"/>
    <n v="143.80000000000001"/>
    <n v="139.4"/>
    <n v="128.30000000000001"/>
    <n v="138.6"/>
    <n v="146.9"/>
    <n v="131.30000000000001"/>
    <n v="136.6"/>
    <x v="154"/>
    <n v="1818.8"/>
    <n v="449.2"/>
    <n v="413.80000000000007"/>
    <n v="270.70000000000005"/>
    <n v="436.09999999999997"/>
    <n v="293"/>
  </r>
  <r>
    <s v="Urban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x v="155"/>
    <n v="1767.6000000000001"/>
    <n v="407.3"/>
    <n v="395.8"/>
    <n v="263.20000000000005"/>
    <n v="408.79999999999995"/>
    <n v="293.10000000000002"/>
  </r>
  <r>
    <s v="Rural+Urban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x v="156"/>
    <n v="1798.6999999999998"/>
    <n v="432.20000000000005"/>
    <n v="403.9"/>
    <n v="267.79999999999995"/>
    <n v="424.9"/>
    <n v="291.8"/>
  </r>
  <r>
    <s v="Rural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45.30000000000001"/>
    <n v="149"/>
    <n v="144"/>
    <n v="140"/>
    <n v="129.9"/>
    <n v="140"/>
    <n v="147.6"/>
    <n v="132"/>
    <n v="137.4"/>
    <x v="157"/>
    <n v="1799.8"/>
    <n v="449.5"/>
    <n v="417.5"/>
    <n v="272"/>
    <n v="438.3"/>
    <n v="295.10000000000002"/>
  </r>
  <r>
    <s v="Urban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x v="158"/>
    <n v="1748.3999999999999"/>
    <n v="409.20000000000005"/>
    <n v="397.9"/>
    <n v="265"/>
    <n v="411.4"/>
    <n v="295.20000000000005"/>
  </r>
  <r>
    <s v="Rural+Urban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x v="159"/>
    <n v="1779.4999999999998"/>
    <n v="433.29999999999995"/>
    <n v="406.7"/>
    <n v="269.3"/>
    <n v="427.3"/>
    <n v="293.89999999999998"/>
  </r>
  <r>
    <s v="Rural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46.30000000000001"/>
    <n v="149.69999999999999"/>
    <n v="147.5"/>
    <n v="144.80000000000001"/>
    <n v="130.80000000000001"/>
    <n v="140.1"/>
    <n v="148"/>
    <n v="134.4"/>
    <n v="139.80000000000001"/>
    <x v="160"/>
    <n v="1782.1999999999998"/>
    <n v="445"/>
    <n v="418.9"/>
    <n v="279.20000000000005"/>
    <n v="443.5"/>
    <n v="299.39999999999998"/>
  </r>
  <r>
    <s v="Urban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x v="161"/>
    <n v="1754.1"/>
    <n v="411"/>
    <n v="399.5"/>
    <n v="266.60000000000002"/>
    <n v="414.80000000000007"/>
    <n v="296.5"/>
  </r>
  <r>
    <s v="Rural+Urban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x v="162"/>
    <n v="1776.2"/>
    <n v="434"/>
    <n v="409.8"/>
    <n v="274.10000000000002"/>
    <n v="434.40000000000003"/>
    <n v="298.89999999999998"/>
  </r>
  <r>
    <s v="Rural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46.9"/>
    <n v="150.30000000000001"/>
    <n v="148"/>
    <n v="145.4"/>
    <n v="130.30000000000001"/>
    <n v="143.1"/>
    <n v="150.19999999999999"/>
    <n v="133.1"/>
    <n v="140.1"/>
    <x v="163"/>
    <n v="1787.5"/>
    <n v="448"/>
    <n v="423.6"/>
    <n v="278.5"/>
    <n v="445.20000000000005"/>
    <n v="302"/>
  </r>
  <r>
    <s v="Urban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x v="164"/>
    <n v="1757.4999999999995"/>
    <n v="413.1"/>
    <n v="398.6"/>
    <n v="267.3"/>
    <n v="419.40000000000003"/>
    <n v="296.60000000000002"/>
  </r>
  <r>
    <s v="Rural+Urban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x v="162"/>
    <n v="1775.6999999999998"/>
    <n v="433.8"/>
    <n v="409.8"/>
    <n v="274.10000000000002"/>
    <n v="434.2"/>
    <n v="298.89999999999998"/>
  </r>
  <r>
    <s v="Rural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46.5"/>
    <n v="149"/>
    <n v="149.5"/>
    <n v="149.6"/>
    <n v="128.9"/>
    <n v="143.30000000000001"/>
    <n v="155.1"/>
    <n v="133.19999999999999"/>
    <n v="141.6"/>
    <x v="165"/>
    <n v="1773.1000000000001"/>
    <n v="448.3"/>
    <n v="427.3"/>
    <n v="282.79999999999995"/>
    <n v="445"/>
    <n v="304"/>
  </r>
  <r>
    <s v="Urban"/>
    <x v="5"/>
    <x v="1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x v="155"/>
    <n v="1746.5999999999997"/>
    <n v="413.8"/>
    <n v="397"/>
    <n v="268.10000000000002"/>
    <n v="415.09999999999997"/>
    <n v="296.29999999999995"/>
  </r>
  <r>
    <s v="Rural+Urban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x v="166"/>
    <n v="1762.7999999999997"/>
    <n v="434.3"/>
    <n v="410.5"/>
    <n v="277.10000000000002"/>
    <n v="432.4"/>
    <n v="299.8"/>
  </r>
  <r>
    <s v="Rural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47.69999999999999"/>
    <n v="146.19999999999999"/>
    <n v="150.1"/>
    <n v="149.6"/>
    <n v="128.6"/>
    <n v="142.9"/>
    <n v="155.19999999999999"/>
    <n v="133.5"/>
    <n v="141.69999999999999"/>
    <x v="167"/>
    <n v="1759.6000000000001"/>
    <n v="445.6"/>
    <n v="426.69999999999993"/>
    <n v="283.10000000000002"/>
    <n v="444"/>
    <n v="304.39999999999998"/>
  </r>
  <r>
    <s v="Urban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x v="155"/>
    <n v="1744.3"/>
    <n v="414.5"/>
    <n v="397.1"/>
    <n v="269.5"/>
    <n v="412.59999999999997"/>
    <n v="296.5"/>
  </r>
  <r>
    <s v="Rural+Urban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x v="168"/>
    <n v="1753.4"/>
    <n v="433"/>
    <n v="410.2"/>
    <n v="277.89999999999998"/>
    <n v="430.79999999999995"/>
    <n v="300.10000000000002"/>
  </r>
  <r>
    <s v="Rural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48.5"/>
    <n v="145.30000000000001"/>
    <n v="150.1"/>
    <n v="149.9"/>
    <n v="129.19999999999999"/>
    <n v="143.4"/>
    <n v="155.5"/>
    <n v="134.9"/>
    <n v="142.19999999999999"/>
    <x v="167"/>
    <n v="1759.7999999999997"/>
    <n v="446.5"/>
    <n v="428.1"/>
    <n v="284.8"/>
    <n v="443.9"/>
    <n v="305"/>
  </r>
  <r>
    <s v="Urban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x v="169"/>
    <n v="1754.4"/>
    <n v="415.5"/>
    <n v="398"/>
    <n v="271.5"/>
    <n v="412.20000000000005"/>
    <n v="297.3"/>
  </r>
  <r>
    <s v="Rural+Urban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x v="170"/>
    <n v="1757.1000000000001"/>
    <n v="433.9"/>
    <n v="411.30000000000007"/>
    <n v="279.7"/>
    <n v="430.59999999999997"/>
    <n v="300.8"/>
  </r>
  <r>
    <s v="Rural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49"/>
    <n v="146.4"/>
    <n v="150"/>
    <n v="150.4"/>
    <n v="129.9"/>
    <n v="143.80000000000001"/>
    <n v="155.5"/>
    <n v="134"/>
    <n v="142.4"/>
    <x v="171"/>
    <n v="1761.1999999999998"/>
    <n v="447"/>
    <n v="429.2"/>
    <n v="284.39999999999998"/>
    <n v="445.4"/>
    <n v="305.3"/>
  </r>
  <r>
    <s v="Urban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x v="172"/>
    <n v="1768.4000000000003"/>
    <n v="416.29999999999995"/>
    <n v="399.6"/>
    <n v="271.7"/>
    <n v="414.6"/>
    <n v="298.10000000000002"/>
  </r>
  <r>
    <s v="Rural+Urban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x v="156"/>
    <n v="1762.8999999999999"/>
    <n v="434.5"/>
    <n v="412.59999999999997"/>
    <n v="279.60000000000002"/>
    <n v="432.5"/>
    <n v="301.2"/>
  </r>
  <r>
    <s v="Rural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50.1"/>
    <n v="146.9"/>
    <n v="149.5"/>
    <n v="151.30000000000001"/>
    <n v="130.19999999999999"/>
    <n v="145.9"/>
    <n v="156.69999999999999"/>
    <n v="133.9"/>
    <n v="142.9"/>
    <x v="163"/>
    <n v="1782.1"/>
    <n v="448.59999999999997"/>
    <n v="432.79999999999995"/>
    <n v="285.20000000000005"/>
    <n v="446.5"/>
    <n v="306.20000000000005"/>
  </r>
  <r>
    <s v="Urban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x v="173"/>
    <n v="1811.5000000000002"/>
    <n v="417.9"/>
    <n v="402.1"/>
    <n v="272.39999999999998"/>
    <n v="416.7"/>
    <n v="299.5"/>
  </r>
  <r>
    <s v="Rural+Urban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x v="174"/>
    <n v="1791.8999999999999"/>
    <n v="436.1"/>
    <n v="415.7"/>
    <n v="280.3"/>
    <n v="434.09999999999997"/>
    <n v="302.29999999999995"/>
  </r>
  <r>
    <s v="Rural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49.4"/>
    <n v="147.80000000000001"/>
    <n v="149.6"/>
    <n v="151.69999999999999"/>
    <n v="130.19999999999999"/>
    <n v="146.4"/>
    <n v="157.69999999999999"/>
    <n v="134.80000000000001"/>
    <n v="143.30000000000001"/>
    <x v="175"/>
    <n v="1804.2"/>
    <n v="448.59999999999997"/>
    <n v="434.29999999999995"/>
    <n v="286.5"/>
    <n v="446.80000000000007"/>
    <n v="307.5"/>
  </r>
  <r>
    <s v="Urban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x v="157"/>
    <n v="1833.3000000000002"/>
    <n v="418.4"/>
    <n v="402.8"/>
    <n v="274"/>
    <n v="417.29999999999995"/>
    <n v="300.29999999999995"/>
  </r>
  <r>
    <s v="Rural+Urban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x v="176"/>
    <n v="1814.1"/>
    <n v="436.4"/>
    <n v="416.70000000000005"/>
    <n v="281.70000000000005"/>
    <n v="434.40000000000003"/>
    <n v="303.5"/>
  </r>
  <r>
    <s v="Rural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50.6"/>
    <n v="146.80000000000001"/>
    <n v="150"/>
    <n v="152.19999999999999"/>
    <n v="131.19999999999999"/>
    <n v="147.5"/>
    <n v="159.1"/>
    <n v="136.1"/>
    <n v="144.19999999999999"/>
    <x v="177"/>
    <n v="1826.9000000000003"/>
    <n v="449.1"/>
    <n v="437.79999999999995"/>
    <n v="288.29999999999995"/>
    <n v="447.4"/>
    <n v="308.7"/>
  </r>
  <r>
    <s v="Urban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x v="178"/>
    <n v="1857.3999999999999"/>
    <n v="419.3"/>
    <n v="406"/>
    <n v="275.89999999999998"/>
    <n v="415.3"/>
    <n v="301.7"/>
  </r>
  <r>
    <s v="Rural+Urban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x v="179"/>
    <n v="1837.5"/>
    <n v="437"/>
    <n v="420.1"/>
    <n v="283.60000000000002"/>
    <n v="434.09999999999997"/>
    <n v="304.7"/>
  </r>
  <r>
    <s v="Rural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51.6"/>
    <n v="146.4"/>
    <n v="150.19999999999999"/>
    <n v="152.69999999999999"/>
    <n v="131.4"/>
    <n v="148"/>
    <n v="159.69999999999999"/>
    <n v="138.80000000000001"/>
    <n v="144.9"/>
    <x v="180"/>
    <n v="1834.5"/>
    <n v="449.5"/>
    <n v="439.1"/>
    <n v="291.5"/>
    <n v="448.2"/>
    <n v="310"/>
  </r>
  <r>
    <s v="Urban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x v="179"/>
    <n v="1869.1"/>
    <n v="420.2"/>
    <n v="407.70000000000005"/>
    <n v="279.3"/>
    <n v="415.20000000000005"/>
    <n v="303.20000000000005"/>
  </r>
  <r>
    <s v="Rural+Urban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x v="181"/>
    <n v="1846.5"/>
    <n v="437.6"/>
    <n v="421.6"/>
    <n v="286.89999999999998"/>
    <n v="434.6"/>
    <n v="306"/>
  </r>
  <r>
    <s v="Rural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52.19999999999999"/>
    <n v="146.9"/>
    <n v="150.30000000000001"/>
    <n v="153.4"/>
    <n v="131.6"/>
    <n v="148.30000000000001"/>
    <n v="160.19999999999999"/>
    <n v="140.19999999999999"/>
    <n v="145.4"/>
    <x v="182"/>
    <n v="1848.6999999999998"/>
    <n v="449.29999999999995"/>
    <n v="440.09999999999997"/>
    <n v="293.60000000000002"/>
    <n v="449.40000000000003"/>
    <n v="311.10000000000002"/>
  </r>
  <r>
    <s v="Urban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x v="183"/>
    <n v="1874.9"/>
    <n v="420.8"/>
    <n v="408.70000000000005"/>
    <n v="280.89999999999998"/>
    <n v="417.09999999999997"/>
    <n v="304.29999999999995"/>
  </r>
  <r>
    <s v="Rural+Urban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x v="184"/>
    <n v="1857.7"/>
    <n v="437.69999999999993"/>
    <n v="422.59999999999997"/>
    <n v="288.7"/>
    <n v="436"/>
    <n v="307.2"/>
  </r>
  <r>
    <s v="Rural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53"/>
    <n v="147.69999999999999"/>
    <n v="150.6"/>
    <n v="153.69999999999999"/>
    <n v="131.69999999999999"/>
    <n v="148.69999999999999"/>
    <n v="160.69999999999999"/>
    <n v="140.30000000000001"/>
    <n v="145.69999999999999"/>
    <x v="185"/>
    <n v="1876.9"/>
    <n v="449.4"/>
    <n v="441.09999999999997"/>
    <n v="294"/>
    <n v="451.29999999999995"/>
    <n v="312"/>
  </r>
  <r>
    <s v="Urban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x v="186"/>
    <n v="1902.5999999999997"/>
    <n v="422.20000000000005"/>
    <n v="409.4"/>
    <n v="281.89999999999998"/>
    <n v="420.59999999999997"/>
    <n v="305.3"/>
  </r>
  <r>
    <s v="Rural+Urban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x v="187"/>
    <n v="1885.6"/>
    <n v="438.40000000000003"/>
    <n v="423.4"/>
    <n v="289.39999999999998"/>
    <n v="438.6"/>
    <n v="308.10000000000002"/>
  </r>
  <r>
    <s v="Rural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53.5"/>
    <n v="148.4"/>
    <n v="150.9"/>
    <n v="154.30000000000001"/>
    <n v="132.1"/>
    <n v="149.1"/>
    <n v="160.80000000000001"/>
    <n v="140.6"/>
    <n v="146.1"/>
    <x v="188"/>
    <n v="1904.6"/>
    <n v="450.8"/>
    <n v="442"/>
    <n v="294.89999999999998"/>
    <n v="452.79999999999995"/>
    <n v="313.29999999999995"/>
  </r>
  <r>
    <s v="Urban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x v="189"/>
    <n v="1924"/>
    <n v="423.09999999999997"/>
    <n v="410.2"/>
    <n v="282.60000000000002"/>
    <n v="424.79999999999995"/>
    <n v="306.20000000000005"/>
  </r>
  <r>
    <s v="Rural+Urban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x v="190"/>
    <n v="1910.9"/>
    <n v="439.5"/>
    <n v="424.20000000000005"/>
    <n v="290.20000000000005"/>
    <n v="441.1"/>
    <n v="309.20000000000005"/>
  </r>
  <r>
    <s v="Rural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52.80000000000001"/>
    <n v="149.9"/>
    <n v="151.19999999999999"/>
    <n v="154.80000000000001"/>
    <n v="135"/>
    <n v="149.5"/>
    <n v="161.1"/>
    <n v="140.6"/>
    <n v="147.1"/>
    <x v="191"/>
    <n v="1941"/>
    <n v="451.79999999999995"/>
    <n v="445.6"/>
    <n v="295.39999999999998"/>
    <n v="453.90000000000003"/>
    <n v="314.89999999999998"/>
  </r>
  <r>
    <s v="Urban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x v="185"/>
    <n v="1956.7000000000003"/>
    <n v="424.20000000000005"/>
    <n v="413.90000000000003"/>
    <n v="283.39999999999998"/>
    <n v="426.2"/>
    <n v="308.10000000000002"/>
  </r>
  <r>
    <s v="Rural+Urban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x v="192"/>
    <n v="1946.1"/>
    <n v="440.6"/>
    <n v="427.8"/>
    <n v="290.8"/>
    <n v="442.3"/>
    <n v="311"/>
  </r>
  <r>
    <s v="Rural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53.9"/>
    <n v="150.4"/>
    <n v="151.69999999999999"/>
    <n v="155.69999999999999"/>
    <n v="136.30000000000001"/>
    <n v="150.1"/>
    <n v="161.69999999999999"/>
    <n v="142.5"/>
    <n v="148.1"/>
    <x v="193"/>
    <n v="1938.6000000000001"/>
    <n v="452.30000000000007"/>
    <n v="448.1"/>
    <n v="298.2"/>
    <n v="456"/>
    <n v="316.7"/>
  </r>
  <r>
    <s v="Urban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x v="194"/>
    <n v="1945.3999999999999"/>
    <n v="425.1"/>
    <n v="415.4"/>
    <n v="285.89999999999998"/>
    <n v="429.1"/>
    <n v="309.20000000000005"/>
  </r>
  <r>
    <s v="Rural+Urban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x v="195"/>
    <n v="1940.4"/>
    <n v="441.2"/>
    <n v="429.8"/>
    <n v="293.5"/>
    <n v="444.7"/>
    <n v="312.60000000000002"/>
  </r>
  <r>
    <s v="Rural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54.80000000000001"/>
    <n v="152.30000000000001"/>
    <n v="151.80000000000001"/>
    <n v="156.19999999999999"/>
    <n v="136"/>
    <n v="150.4"/>
    <n v="161.9"/>
    <n v="143.4"/>
    <n v="148.4"/>
    <x v="192"/>
    <n v="1909.8000000000004"/>
    <n v="452.8"/>
    <n v="448.29999999999995"/>
    <n v="299.60000000000002"/>
    <n v="458.90000000000003"/>
    <n v="317.8"/>
  </r>
  <r>
    <s v="Urban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x v="196"/>
    <n v="1916.6"/>
    <n v="426"/>
    <n v="415.09999999999997"/>
    <n v="287.89999999999998"/>
    <n v="434.1"/>
    <n v="310.39999999999998"/>
  </r>
  <r>
    <s v="Rural+Urban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x v="197"/>
    <n v="1911.6"/>
    <n v="442"/>
    <n v="429.7"/>
    <n v="295.10000000000002"/>
    <n v="448.4"/>
    <n v="313.7"/>
  </r>
  <r>
    <s v="Rural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54.5"/>
    <n v="153.4"/>
    <n v="151.5"/>
    <n v="156.69999999999999"/>
    <n v="135.80000000000001"/>
    <n v="151.19999999999999"/>
    <n v="161.19999999999999"/>
    <n v="145.1"/>
    <n v="148.6"/>
    <x v="198"/>
    <n v="1894.6"/>
    <n v="453.5"/>
    <n v="448.2"/>
    <n v="301.79999999999995"/>
    <n v="459.4"/>
    <n v="319.10000000000002"/>
  </r>
  <r>
    <s v="Urban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x v="199"/>
    <n v="1898.5"/>
    <n v="427.1"/>
    <n v="415"/>
    <n v="290.3"/>
    <n v="436.7"/>
    <n v="312"/>
  </r>
  <r>
    <s v="Rural+Urban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x v="190"/>
    <n v="1895.3999999999999"/>
    <n v="442.90000000000003"/>
    <n v="429.7"/>
    <n v="297.5"/>
    <n v="449.79999999999995"/>
    <n v="315"/>
  </r>
  <r>
    <s v="Rural"/>
    <x v="7"/>
    <x v="3"/>
    <n v="147.19999999999999"/>
    <n v="184.2"/>
    <n v="146.9"/>
    <n v="155.6"/>
    <n v="137.1"/>
    <n v="147.30000000000001"/>
    <n v="162.69999999999999"/>
    <n v="150.19999999999999"/>
    <n v="119.8"/>
    <n v="158.69999999999999"/>
    <n v="139.19999999999999"/>
    <n v="161.80000000000001"/>
    <n v="150.1"/>
    <n v="180.6"/>
    <n v="152.30000000000001"/>
    <n v="142.9"/>
    <n v="150.9"/>
    <n v="155.6"/>
    <n v="148.4"/>
    <n v="147.5"/>
    <n v="154.30000000000001"/>
    <n v="136.30000000000001"/>
    <n v="146.69999999999999"/>
    <n v="157.80000000000001"/>
    <n v="151.80000000000001"/>
    <n v="147.5"/>
    <x v="200"/>
    <n v="1960.8"/>
    <n v="446.1"/>
    <n v="440.8"/>
    <n v="306.10000000000002"/>
    <n v="451.5"/>
    <n v="328.1"/>
  </r>
  <r>
    <s v="Urban"/>
    <x v="7"/>
    <x v="3"/>
    <n v="151.80000000000001"/>
    <n v="184.2"/>
    <n v="151.9"/>
    <n v="155.5"/>
    <n v="131.6"/>
    <n v="152.9"/>
    <n v="180"/>
    <n v="150.80000000000001"/>
    <n v="121.2"/>
    <n v="154"/>
    <n v="133.5"/>
    <n v="161.80000000000001"/>
    <n v="153.5"/>
    <n v="180.6"/>
    <n v="152.30000000000001"/>
    <n v="142.9"/>
    <n v="150.9"/>
    <n v="155.6"/>
    <n v="137.1"/>
    <n v="147.5"/>
    <n v="144.80000000000001"/>
    <n v="136.30000000000001"/>
    <n v="146.69999999999999"/>
    <n v="157.80000000000001"/>
    <n v="151.80000000000001"/>
    <n v="147.5"/>
    <x v="200"/>
    <n v="1982.7"/>
    <n v="446.1"/>
    <n v="440.8"/>
    <n v="296.60000000000002"/>
    <n v="440.2"/>
    <n v="328.1"/>
  </r>
  <r>
    <s v="Rural+Urban"/>
    <x v="7"/>
    <x v="3"/>
    <n v="148.69999999999999"/>
    <n v="184.2"/>
    <n v="148.80000000000001"/>
    <n v="155.6"/>
    <n v="135.1"/>
    <n v="149.9"/>
    <n v="168.6"/>
    <n v="150.4"/>
    <n v="120.3"/>
    <n v="157.1"/>
    <n v="136.80000000000001"/>
    <n v="161.80000000000001"/>
    <n v="151.4"/>
    <n v="180.6"/>
    <n v="152.30000000000001"/>
    <n v="142.9"/>
    <n v="150.9"/>
    <n v="155.6"/>
    <n v="144.1"/>
    <n v="147.5"/>
    <n v="150.69999999999999"/>
    <n v="136.30000000000001"/>
    <n v="146.69999999999999"/>
    <n v="157.80000000000001"/>
    <n v="151.80000000000001"/>
    <n v="147.5"/>
    <x v="200"/>
    <n v="1968.6999999999998"/>
    <n v="446.1"/>
    <n v="440.8"/>
    <n v="302.5"/>
    <n v="447.2"/>
    <n v="328.1"/>
  </r>
  <r>
    <s v="Rural"/>
    <x v="7"/>
    <x v="4"/>
    <n v="147.69999999999999"/>
    <n v="184.2"/>
    <n v="156.69999999999999"/>
    <n v="153"/>
    <n v="136.30000000000001"/>
    <n v="147.4"/>
    <n v="187.7"/>
    <n v="149.4"/>
    <n v="115.6"/>
    <n v="157.9"/>
    <n v="140.12"/>
    <n v="161.80000000000001"/>
    <n v="156.6"/>
    <n v="180.6"/>
    <n v="152.30000000000001"/>
    <n v="142.9"/>
    <n v="150.9"/>
    <n v="139.30000000000001"/>
    <n v="143.30000000000001"/>
    <n v="147.5"/>
    <n v="153.5"/>
    <n v="136.30000000000001"/>
    <n v="146.69999999999999"/>
    <n v="157.80000000000001"/>
    <n v="151.80000000000001"/>
    <n v="147.5"/>
    <x v="200"/>
    <n v="1994.42"/>
    <n v="446.1"/>
    <n v="440.8"/>
    <n v="305.3"/>
    <n v="430.1"/>
    <n v="328.1"/>
  </r>
  <r>
    <s v="Urban"/>
    <x v="7"/>
    <x v="4"/>
    <n v="147.69999999999999"/>
    <n v="184.2"/>
    <n v="156.69999999999999"/>
    <n v="153"/>
    <n v="136.30000000000001"/>
    <n v="147.4"/>
    <n v="187.7"/>
    <n v="149.4"/>
    <n v="115.6"/>
    <n v="157.9"/>
    <n v="140.12"/>
    <n v="161.80000000000001"/>
    <n v="156.6"/>
    <n v="180.6"/>
    <n v="152.30000000000001"/>
    <n v="142.9"/>
    <n v="150.9"/>
    <n v="139.30000000000001"/>
    <n v="143.30000000000001"/>
    <n v="147.5"/>
    <n v="153.5"/>
    <n v="136.30000000000001"/>
    <n v="146.69999999999999"/>
    <n v="157.80000000000001"/>
    <n v="151.80000000000001"/>
    <n v="147.5"/>
    <x v="200"/>
    <n v="1994.42"/>
    <n v="446.1"/>
    <n v="440.8"/>
    <n v="305.3"/>
    <n v="430.1"/>
    <n v="328.1"/>
  </r>
  <r>
    <s v="Rural+Urban"/>
    <x v="7"/>
    <x v="4"/>
    <n v="147.69999999999999"/>
    <n v="184.2"/>
    <n v="156.69999999999999"/>
    <n v="153"/>
    <n v="136.30000000000001"/>
    <n v="147.4"/>
    <n v="187.7"/>
    <n v="149.4"/>
    <n v="115.6"/>
    <n v="157.9"/>
    <n v="140.12"/>
    <n v="161.80000000000001"/>
    <n v="156.6"/>
    <n v="180.6"/>
    <n v="152.30000000000001"/>
    <n v="142.9"/>
    <n v="150.9"/>
    <n v="139.30000000000001"/>
    <n v="143.30000000000001"/>
    <n v="147.5"/>
    <n v="153.5"/>
    <n v="136.30000000000001"/>
    <n v="146.69999999999999"/>
    <n v="157.80000000000001"/>
    <n v="151.80000000000001"/>
    <n v="147.5"/>
    <x v="200"/>
    <n v="1994.42"/>
    <n v="446.1"/>
    <n v="440.8"/>
    <n v="305.3"/>
    <n v="430.1"/>
    <n v="328.1"/>
  </r>
  <r>
    <s v="Rural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x v="201"/>
    <n v="1951.0000000000002"/>
    <n v="458.79999999999995"/>
    <n v="456.40000000000003"/>
    <n v="309.39999999999998"/>
    <n v="451.3"/>
    <n v="334.1"/>
  </r>
  <r>
    <s v="Urban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x v="202"/>
    <n v="1995"/>
    <n v="432.9"/>
    <n v="426.3"/>
    <n v="300.29999999999995"/>
    <n v="432.19999999999993"/>
    <n v="328.7"/>
  </r>
  <r>
    <s v="Rural+Urban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x v="203"/>
    <n v="1966.8000000000002"/>
    <n v="448.29999999999995"/>
    <n v="439.7"/>
    <n v="306"/>
    <n v="443"/>
    <n v="330.5"/>
  </r>
  <r>
    <s v="Rural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x v="201"/>
    <n v="1951.0000000000002"/>
    <n v="458.79999999999995"/>
    <n v="456.40000000000003"/>
    <n v="309.39999999999998"/>
    <n v="451.3"/>
    <n v="334.1"/>
  </r>
  <r>
    <s v="Urban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x v="202"/>
    <n v="1995"/>
    <n v="432.9"/>
    <n v="426.3"/>
    <n v="300.29999999999995"/>
    <n v="432.19999999999993"/>
    <n v="328.7"/>
  </r>
  <r>
    <s v="Rural+Urban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x v="203"/>
    <n v="1966.8000000000002"/>
    <n v="448.29999999999995"/>
    <n v="439.7"/>
    <n v="306"/>
    <n v="443"/>
    <n v="330.5"/>
  </r>
  <r>
    <s v="Rural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55.5"/>
    <n v="145.80000000000001"/>
    <n v="151.9"/>
    <n v="158.80000000000001"/>
    <n v="143.6"/>
    <n v="152.19999999999999"/>
    <n v="162.69999999999999"/>
    <n v="153.6"/>
    <n v="153"/>
    <x v="204"/>
    <n v="1978.6000000000001"/>
    <n v="458.7"/>
    <n v="458.49999999999994"/>
    <n v="312.39999999999998"/>
    <n v="453.20000000000005"/>
    <n v="333.9"/>
  </r>
  <r>
    <s v="Urban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x v="205"/>
    <n v="2024.9"/>
    <n v="433"/>
    <n v="430.59999999999997"/>
    <n v="303.89999999999998"/>
    <n v="438.3"/>
    <n v="332"/>
  </r>
  <r>
    <s v="Rural+Urban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x v="206"/>
    <n v="1995.2000000000003"/>
    <n v="448.2"/>
    <n v="443"/>
    <n v="309.3"/>
    <n v="446.9"/>
    <n v="331.6"/>
  </r>
  <r>
    <s v="Rural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56.30000000000001"/>
    <n v="146.4"/>
    <n v="151.6"/>
    <n v="159.1"/>
    <n v="144.6"/>
    <n v="152.80000000000001"/>
    <n v="161.1"/>
    <n v="157.4"/>
    <n v="153.69999999999999"/>
    <x v="207"/>
    <n v="1987.4000000000003"/>
    <n v="459.9"/>
    <n v="458.5"/>
    <n v="316.5"/>
    <n v="454.30000000000007"/>
    <n v="336.6"/>
  </r>
  <r>
    <s v="Urban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x v="208"/>
    <n v="2041.6000000000001"/>
    <n v="434.6"/>
    <n v="431.8"/>
    <n v="309.8"/>
    <n v="438.9"/>
    <n v="334.7"/>
  </r>
  <r>
    <s v="Rural+Urban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x v="204"/>
    <n v="2007"/>
    <n v="449.70000000000005"/>
    <n v="443.70000000000005"/>
    <n v="314"/>
    <n v="447.90000000000003"/>
    <n v="334.4"/>
  </r>
  <r>
    <s v="Rural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56.5"/>
    <n v="146.80000000000001"/>
    <n v="152"/>
    <n v="159.5"/>
    <n v="146.4"/>
    <n v="152.4"/>
    <n v="162.5"/>
    <n v="156.19999999999999"/>
    <n v="154.30000000000001"/>
    <x v="209"/>
    <n v="2030.8999999999996"/>
    <n v="461.29999999999995"/>
    <n v="461.29999999999995"/>
    <n v="315.7"/>
    <n v="455.3"/>
    <n v="337"/>
  </r>
  <r>
    <s v="Urban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x v="210"/>
    <n v="2080.2000000000003"/>
    <n v="434.90000000000003"/>
    <n v="433.1"/>
    <n v="309.10000000000002"/>
    <n v="438.70000000000005"/>
    <n v="334.9"/>
  </r>
  <r>
    <s v="Rural+Urban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x v="211"/>
    <n v="2048.6000000000004"/>
    <n v="450.59999999999997"/>
    <n v="445.6"/>
    <n v="313.3"/>
    <n v="448.3"/>
    <n v="334.70000000000005"/>
  </r>
  <r>
    <s v="Rural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58"/>
    <n v="147.5"/>
    <n v="152.80000000000001"/>
    <n v="160.4"/>
    <n v="146.1"/>
    <n v="153.6"/>
    <n v="161.6"/>
    <n v="156.19999999999999"/>
    <n v="154.5"/>
    <x v="212"/>
    <n v="2082.3999999999996"/>
    <n v="462.8"/>
    <n v="461.29999999999995"/>
    <n v="316.60000000000002"/>
    <n v="458.3"/>
    <n v="337.9"/>
  </r>
  <r>
    <s v="Urban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x v="213"/>
    <n v="2120.7000000000003"/>
    <n v="436.3"/>
    <n v="436"/>
    <n v="309.89999999999998"/>
    <n v="440.4"/>
    <n v="335.4"/>
  </r>
  <r>
    <s v="Rural+Urban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x v="214"/>
    <n v="2095.6"/>
    <n v="452.00000000000006"/>
    <n v="447.4"/>
    <n v="314.10000000000002"/>
    <n v="450.8"/>
    <n v="335.5"/>
  </r>
  <r>
    <s v="Rural"/>
    <x v="7"/>
    <x v="11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58.4"/>
    <n v="148.69999999999999"/>
    <n v="153.4"/>
    <n v="161.6"/>
    <n v="146.4"/>
    <n v="153.9"/>
    <n v="162.9"/>
    <n v="156.6"/>
    <n v="155.19999999999999"/>
    <x v="215"/>
    <n v="2100.5"/>
    <n v="464.90000000000003"/>
    <n v="463.20000000000005"/>
    <n v="318.2"/>
    <n v="460.5"/>
    <n v="338.79999999999995"/>
  </r>
  <r>
    <s v="Urban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x v="216"/>
    <n v="2125.4000000000005"/>
    <n v="438.20000000000005"/>
    <n v="436.7"/>
    <n v="310.8"/>
    <n v="441.8"/>
    <n v="337.1"/>
  </r>
  <r>
    <s v="Rural+Urban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x v="217"/>
    <n v="2109.1"/>
    <n v="454"/>
    <n v="448.6"/>
    <n v="315.39999999999998"/>
    <n v="452.7"/>
    <n v="336.6"/>
  </r>
  <r>
    <s v="Rural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57.69999999999999"/>
    <n v="150.9"/>
    <n v="153.9"/>
    <n v="162.5"/>
    <n v="147.5"/>
    <n v="155.1"/>
    <n v="163.5"/>
    <n v="156.19999999999999"/>
    <n v="155.9"/>
    <x v="218"/>
    <n v="2065.6999999999998"/>
    <n v="466.7"/>
    <n v="466.1"/>
    <n v="318.7"/>
    <n v="462.5"/>
    <n v="340.5"/>
  </r>
  <r>
    <s v="Urban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x v="219"/>
    <n v="2097"/>
    <n v="440"/>
    <n v="438.4"/>
    <n v="311.79999999999995"/>
    <n v="446.3"/>
    <n v="339.4"/>
  </r>
  <r>
    <s v="Rural+Urban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x v="220"/>
    <n v="2076.5"/>
    <n v="455.8"/>
    <n v="450.70000000000005"/>
    <n v="316.10000000000002"/>
    <n v="455.6"/>
    <n v="338.4"/>
  </r>
  <r>
    <s v="Rural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59.80000000000001"/>
    <n v="154.4"/>
    <n v="154.80000000000001"/>
    <n v="164.3"/>
    <n v="150.19999999999999"/>
    <n v="157"/>
    <n v="163.6"/>
    <n v="155.19999999999999"/>
    <n v="157.19999999999999"/>
    <x v="213"/>
    <n v="2025.3"/>
    <n v="471.4"/>
    <n v="470.79999999999995"/>
    <n v="319.5"/>
    <n v="469.00000000000006"/>
    <n v="343.7"/>
  </r>
  <r>
    <s v="Urban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x v="221"/>
    <n v="2066.0000000000005"/>
    <n v="444.2"/>
    <n v="444.40000000000003"/>
    <n v="313"/>
    <n v="455.4"/>
    <n v="342.6"/>
  </r>
  <r>
    <s v="Rural+Urban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x v="222"/>
    <n v="2039.3"/>
    <n v="460.40000000000003"/>
    <n v="456.1"/>
    <n v="317.10000000000002"/>
    <n v="463.1"/>
    <n v="341.70000000000005"/>
  </r>
  <r>
    <s v="Rural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59.9"/>
    <n v="156"/>
    <n v="154.80000000000001"/>
    <n v="164.6"/>
    <n v="151.30000000000001"/>
    <n v="157.80000000000001"/>
    <n v="163.80000000000001"/>
    <n v="153.1"/>
    <n v="157.30000000000001"/>
    <x v="213"/>
    <n v="2025.7000000000003"/>
    <n v="472.9"/>
    <n v="472.90000000000003"/>
    <n v="317.7"/>
    <n v="470.7"/>
    <n v="343.4"/>
  </r>
  <r>
    <s v="Urban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x v="216"/>
    <n v="2064.5"/>
    <n v="446.4"/>
    <n v="447.9"/>
    <n v="311.8"/>
    <n v="461.90000000000003"/>
    <n v="343.5"/>
  </r>
  <r>
    <s v="Rural+Urban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x v="223"/>
    <n v="2039.4"/>
    <n v="462.1"/>
    <n v="459"/>
    <n v="315.5"/>
    <n v="466.59999999999997"/>
    <n v="341.9"/>
  </r>
  <r>
    <s v="Rural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61.4"/>
    <n v="156"/>
    <n v="155.5"/>
    <n v="165.3"/>
    <n v="151.69999999999999"/>
    <n v="158.6"/>
    <n v="164.1"/>
    <n v="154.6"/>
    <n v="158"/>
    <x v="224"/>
    <n v="2049.5"/>
    <n v="475.69999999999993"/>
    <n v="474.4"/>
    <n v="319.89999999999998"/>
    <n v="472.9"/>
    <n v="344.8"/>
  </r>
  <r>
    <s v="Urban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x v="225"/>
    <n v="2089.6"/>
    <n v="448.6"/>
    <n v="448.79999999999995"/>
    <n v="314.10000000000002"/>
    <n v="463.9"/>
    <n v="344.9"/>
  </r>
  <r>
    <s v="Rural+Urban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x v="226"/>
    <n v="2064.1"/>
    <n v="464.6"/>
    <n v="460.09999999999997"/>
    <n v="317.70000000000005"/>
    <n v="468.8"/>
    <n v="343.20000000000005"/>
  </r>
  <r>
    <s v="Rural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61.6"/>
    <n v="161.69999999999999"/>
    <n v="158.80000000000001"/>
    <n v="169.1"/>
    <n v="153.19999999999999"/>
    <n v="160"/>
    <n v="167.6"/>
    <n v="159.30000000000001"/>
    <n v="161.1"/>
    <x v="227"/>
    <n v="2095.2999999999997"/>
    <n v="490.4"/>
    <n v="480.79999999999995"/>
    <n v="328.4"/>
    <n v="482.09999999999997"/>
    <n v="350.7"/>
  </r>
  <r>
    <s v="Urban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x v="228"/>
    <n v="2124.6999999999998"/>
    <n v="450.79999999999995"/>
    <n v="454.20000000000005"/>
    <n v="317.89999999999998"/>
    <n v="467.20000000000005"/>
    <n v="350.5"/>
  </r>
  <r>
    <s v="Rural+Urban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x v="229"/>
    <n v="2105.6999999999998"/>
    <n v="474.29999999999995"/>
    <n v="465.90000000000003"/>
    <n v="324.39999999999998"/>
    <n v="475.7"/>
    <n v="348.70000000000005"/>
  </r>
  <r>
    <s v="Rural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60.5"/>
    <n v="162.1"/>
    <n v="159.19999999999999"/>
    <n v="169.7"/>
    <n v="154.19999999999999"/>
    <n v="160.4"/>
    <n v="166.8"/>
    <n v="159.4"/>
    <n v="161.5"/>
    <x v="230"/>
    <n v="2122.6"/>
    <n v="489.80000000000007"/>
    <n v="481.4"/>
    <n v="329.1"/>
    <n v="481.8"/>
    <n v="350.6"/>
  </r>
  <r>
    <s v="Urban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x v="229"/>
    <n v="2154.1999999999998"/>
    <n v="452.6"/>
    <n v="456.3"/>
    <n v="318.8"/>
    <n v="466.40000000000003"/>
    <n v="349"/>
  </r>
  <r>
    <s v="Rural+Urban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x v="231"/>
    <n v="2133.9"/>
    <n v="474.7"/>
    <n v="467.29999999999995"/>
    <n v="325.10000000000002"/>
    <n v="475.1"/>
    <n v="348.4"/>
  </r>
  <r>
    <s v="Rural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61.5"/>
    <n v="162.5"/>
    <n v="160.30000000000001"/>
    <n v="170.4"/>
    <n v="157.1"/>
    <n v="160.69999999999999"/>
    <n v="167.2"/>
    <n v="160.4"/>
    <n v="162.80000000000001"/>
    <x v="232"/>
    <n v="2132.4"/>
    <n v="492.40000000000003"/>
    <n v="484.99999999999994"/>
    <n v="330.8"/>
    <n v="484.3"/>
    <n v="352.5"/>
  </r>
  <r>
    <s v="Urban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x v="233"/>
    <n v="2171.8000000000002"/>
    <n v="455.3"/>
    <n v="461"/>
    <n v="321.10000000000002"/>
    <n v="469.9"/>
    <n v="350.5"/>
  </r>
  <r>
    <s v="Rural+Urban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x v="234"/>
    <n v="2147"/>
    <n v="477.29999999999995"/>
    <n v="471.59999999999997"/>
    <n v="327.10000000000002"/>
    <n v="478"/>
    <n v="350.2"/>
  </r>
  <r>
    <s v="Rural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62.1"/>
    <n v="163.1"/>
    <n v="160.9"/>
    <n v="171.1"/>
    <n v="157.69999999999999"/>
    <n v="161.1"/>
    <n v="167.5"/>
    <n v="160.30000000000001"/>
    <n v="163.30000000000001"/>
    <x v="235"/>
    <n v="2130.8000000000002"/>
    <n v="495.90000000000003"/>
    <n v="486.29999999999995"/>
    <n v="331.4"/>
    <n v="486.1"/>
    <n v="353.5"/>
  </r>
  <r>
    <s v="Urban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x v="236"/>
    <n v="2157.9"/>
    <n v="460.7"/>
    <n v="464.5"/>
    <n v="322.39999999999998"/>
    <n v="475.99999999999994"/>
    <n v="352.5"/>
  </r>
  <r>
    <s v="Rural+Urban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x v="232"/>
    <n v="2142"/>
    <n v="483"/>
    <n v="475.4"/>
    <n v="328.4"/>
    <n v="482.2"/>
    <n v="352.1"/>
  </r>
  <r>
    <s v="Rural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62.1"/>
    <n v="163.69999999999999"/>
    <n v="161.30000000000001"/>
    <n v="171.9"/>
    <n v="157.80000000000001"/>
    <n v="162.69999999999999"/>
    <n v="168.5"/>
    <n v="160.19999999999999"/>
    <n v="163.80000000000001"/>
    <x v="237"/>
    <n v="2133.6"/>
    <n v="498.4"/>
    <n v="489"/>
    <n v="332.1"/>
    <n v="487.09999999999997"/>
    <n v="354.3"/>
  </r>
  <r>
    <s v="Urban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x v="236"/>
    <n v="2157.9"/>
    <n v="460.79999999999995"/>
    <n v="464.70000000000005"/>
    <n v="322.39999999999998"/>
    <n v="476.2"/>
    <n v="352.5"/>
  </r>
  <r>
    <s v="Rural+Urban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x v="232"/>
    <n v="2142"/>
    <n v="483.2"/>
    <n v="475.4"/>
    <n v="328.4"/>
    <n v="482.2"/>
    <n v="352.1"/>
  </r>
  <r>
    <s v="Rural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63.6"/>
    <n v="165.5"/>
    <n v="162"/>
    <n v="172.5"/>
    <n v="159.5"/>
    <n v="163.19999999999999"/>
    <n v="169"/>
    <n v="161.1"/>
    <n v="164.7"/>
    <x v="238"/>
    <n v="2164.1999999999998"/>
    <n v="502.00000000000006"/>
    <n v="491.7"/>
    <n v="333.6"/>
    <n v="491.1"/>
    <n v="355.9"/>
  </r>
  <r>
    <s v="Urban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x v="239"/>
    <n v="2198.3999999999996"/>
    <n v="463.50000000000006"/>
    <n v="467.6"/>
    <n v="323.8"/>
    <n v="480.09999999999997"/>
    <n v="354"/>
  </r>
  <r>
    <s v="Rural+Urban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x v="240"/>
    <n v="2175.5"/>
    <n v="486.3"/>
    <n v="478.20000000000005"/>
    <n v="329.9"/>
    <n v="486.19999999999993"/>
    <n v="353.7"/>
  </r>
  <r>
    <s v="Rural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64.2"/>
    <n v="165.3"/>
    <n v="162.9"/>
    <n v="173.4"/>
    <n v="158.9"/>
    <n v="163.80000000000001"/>
    <n v="169.3"/>
    <n v="162.4"/>
    <n v="165.2"/>
    <x v="241"/>
    <n v="2182"/>
    <n v="506.2"/>
    <n v="492.00000000000006"/>
    <n v="335.8"/>
    <n v="492.4"/>
    <n v="356.6"/>
  </r>
  <r>
    <s v="Urban"/>
    <x v="8"/>
    <x v="1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x v="242"/>
    <n v="2217.8999999999996"/>
    <n v="467.3"/>
    <n v="468.7"/>
    <n v="326"/>
    <n v="480.99999999999994"/>
    <n v="354.3"/>
  </r>
  <r>
    <s v="Rural+Urban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x v="243"/>
    <n v="2194.1"/>
    <n v="490.40000000000003"/>
    <n v="478.90000000000003"/>
    <n v="332.1"/>
    <n v="487.40000000000003"/>
    <n v="354.3"/>
  </r>
  <r>
    <s v="Rural"/>
    <x v="8"/>
    <x v="11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63.4"/>
    <n v="165.6"/>
    <n v="163.9"/>
    <n v="174"/>
    <n v="160.1"/>
    <n v="164.5"/>
    <n v="169.7"/>
    <n v="162.80000000000001"/>
    <n v="166"/>
    <x v="244"/>
    <n v="2168.1999999999998"/>
    <n v="510.3"/>
    <n v="494.29999999999995"/>
    <n v="336.8"/>
    <n v="492.9"/>
    <n v="356.8"/>
  </r>
  <r>
    <s v="Urban"/>
    <x v="8"/>
    <x v="11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x v="245"/>
    <n v="2206.2999999999997"/>
    <n v="470.7"/>
    <n v="470"/>
    <n v="327.5"/>
    <n v="481.1"/>
    <n v="354.6"/>
  </r>
  <r>
    <s v="Rural+Urban"/>
    <x v="8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x v="246"/>
    <n v="2180.9"/>
    <n v="494.2"/>
    <n v="480.70000000000005"/>
    <n v="333.2"/>
    <n v="487.7"/>
    <n v="354.4"/>
  </r>
  <r>
    <s v="Rural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64.5"/>
    <n v="165.8"/>
    <n v="164.9"/>
    <n v="174.7"/>
    <n v="160.80000000000001"/>
    <n v="164.9"/>
    <n v="169.9"/>
    <n v="163.19999999999999"/>
    <n v="166.6"/>
    <x v="247"/>
    <n v="2153"/>
    <n v="515.20000000000005"/>
    <n v="495.6"/>
    <n v="337.9"/>
    <n v="495.20000000000005"/>
    <n v="357.29999999999995"/>
  </r>
  <r>
    <s v="Urban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x v="248"/>
    <n v="2186.6999999999998"/>
    <n v="475.4"/>
    <n v="472.1"/>
    <n v="328.9"/>
    <n v="482.90000000000003"/>
    <n v="355"/>
  </r>
  <r>
    <s v="Rural+Urban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x v="249"/>
    <n v="2164.1999999999998"/>
    <n v="499.1"/>
    <n v="482.4"/>
    <n v="334.4"/>
    <n v="489.79999999999995"/>
    <n v="354.9"/>
  </r>
  <r>
    <s v="Rural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65.5"/>
    <n v="167.4"/>
    <n v="165.7"/>
    <n v="175.3"/>
    <n v="161.19999999999999"/>
    <n v="165.5"/>
    <n v="170.3"/>
    <n v="164.5"/>
    <n v="167.3"/>
    <x v="243"/>
    <n v="2150.4"/>
    <n v="518.79999999999995"/>
    <n v="497"/>
    <n v="339.8"/>
    <n v="498.59999999999997"/>
    <n v="358.8"/>
  </r>
  <r>
    <s v="Urban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x v="240"/>
    <n v="2183.5"/>
    <n v="479.5"/>
    <n v="474.6"/>
    <n v="331.4"/>
    <n v="485.9"/>
    <n v="355.9"/>
  </r>
  <r>
    <s v="Rural+Urban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x v="250"/>
    <n v="2161.1999999999998"/>
    <n v="502.80000000000007"/>
    <n v="484.4"/>
    <n v="336.6"/>
    <n v="493"/>
    <n v="356.3"/>
  </r>
  <r>
    <s v="Rural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65.3"/>
    <n v="168.9"/>
    <n v="166.5"/>
    <n v="176"/>
    <n v="162"/>
    <n v="166.6"/>
    <n v="170.6"/>
    <n v="167.4"/>
    <n v="168.3"/>
    <x v="251"/>
    <n v="2179.1"/>
    <n v="523.70000000000005"/>
    <n v="499.20000000000005"/>
    <n v="343.4"/>
    <n v="500.70000000000005"/>
    <n v="360.6"/>
  </r>
  <r>
    <s v="Urban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x v="252"/>
    <n v="2196.2999999999997"/>
    <n v="484.6"/>
    <n v="477.7"/>
    <n v="335"/>
    <n v="488.4"/>
    <n v="358.1"/>
  </r>
  <r>
    <s v="Rural+Urban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x v="253"/>
    <n v="2184.1999999999998"/>
    <n v="507.79999999999995"/>
    <n v="487.2"/>
    <n v="340.2"/>
    <n v="495.3"/>
    <n v="358.29999999999995"/>
  </r>
  <r>
    <s v="Rural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67"/>
    <n v="173.3"/>
    <n v="167.7"/>
    <n v="177"/>
    <n v="166.2"/>
    <n v="167.2"/>
    <n v="170.9"/>
    <n v="169"/>
    <n v="170.2"/>
    <x v="254"/>
    <n v="2206.6000000000004"/>
    <n v="529.70000000000005"/>
    <n v="504.3"/>
    <n v="346"/>
    <n v="508"/>
    <n v="363"/>
  </r>
  <r>
    <s v="Urban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x v="255"/>
    <n v="2230.4"/>
    <n v="489.2"/>
    <n v="485.5"/>
    <n v="337.4"/>
    <n v="497.3"/>
    <n v="360.2"/>
  </r>
  <r>
    <s v="Rural+Urban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x v="256"/>
    <n v="2214.3000000000002"/>
    <n v="513.20000000000005"/>
    <n v="493.9"/>
    <n v="342.8"/>
    <n v="503.2"/>
    <n v="360.70000000000005"/>
  </r>
  <r>
    <s v="Rural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67.5"/>
    <n v="175.3"/>
    <n v="168.9"/>
    <n v="177.7"/>
    <n v="167.1"/>
    <n v="167.6"/>
    <n v="171.8"/>
    <n v="168.5"/>
    <n v="170.9"/>
    <x v="257"/>
    <n v="2226.8000000000002"/>
    <n v="535.5"/>
    <n v="506.5"/>
    <n v="346.2"/>
    <n v="511.70000000000005"/>
    <n v="363.8"/>
  </r>
  <r>
    <s v="Urban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x v="254"/>
    <n v="2262.1999999999998"/>
    <n v="493.7"/>
    <n v="487.8"/>
    <n v="338.29999999999995"/>
    <n v="502.1"/>
    <n v="361.3"/>
  </r>
  <r>
    <s v="Rural+Urban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x v="258"/>
    <n v="2238.9"/>
    <n v="518.6"/>
    <n v="496"/>
    <n v="343.20000000000005"/>
    <n v="507.3"/>
    <n v="361.6"/>
  </r>
  <r>
    <s v="Rural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66.8"/>
    <n v="176.7"/>
    <n v="170.3"/>
    <n v="178.2"/>
    <n v="165.5"/>
    <n v="168"/>
    <n v="172.6"/>
    <n v="169.5"/>
    <n v="171"/>
    <x v="259"/>
    <n v="2248.3000000000002"/>
    <n v="539.79999999999995"/>
    <n v="506.1"/>
    <n v="347.7"/>
    <n v="513.79999999999995"/>
    <n v="363.9"/>
  </r>
  <r>
    <s v="Urban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x v="260"/>
    <n v="2287.5"/>
    <n v="498.4"/>
    <n v="487.79999999999995"/>
    <n v="340.1"/>
    <n v="503.80000000000007"/>
    <n v="362.1"/>
  </r>
  <r>
    <s v="Rural+Urban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x v="261"/>
    <n v="2261.9"/>
    <n v="523"/>
    <n v="495.90000000000003"/>
    <n v="344.8"/>
    <n v="509.20000000000005"/>
    <n v="361.8"/>
  </r>
  <r>
    <s v="Rural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67.8"/>
    <n v="179.6"/>
    <n v="171.3"/>
    <n v="178.8"/>
    <n v="166.3"/>
    <n v="168.6"/>
    <n v="174.7"/>
    <n v="169.7"/>
    <n v="171.8"/>
    <x v="262"/>
    <n v="2252.5"/>
    <n v="544"/>
    <n v="509.6"/>
    <n v="348.5"/>
    <n v="518.70000000000005"/>
    <n v="365"/>
  </r>
  <r>
    <s v="Urban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x v="263"/>
    <n v="2291.6"/>
    <n v="502"/>
    <n v="491.1"/>
    <n v="341.5"/>
    <n v="510.4"/>
    <n v="363.29999999999995"/>
  </r>
  <r>
    <s v="Rural+Urban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x v="264"/>
    <n v="2266.3000000000002"/>
    <n v="526.90000000000009"/>
    <n v="499.3"/>
    <n v="345.79999999999995"/>
    <n v="514.79999999999995"/>
    <n v="363"/>
  </r>
  <r>
    <s v="Rural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69"/>
    <n v="179.1"/>
    <n v="172.3"/>
    <n v="179.4"/>
    <n v="166.6"/>
    <n v="169.3"/>
    <n v="175.7"/>
    <n v="171.1"/>
    <n v="172.6"/>
    <x v="265"/>
    <n v="2255.8000000000002"/>
    <n v="547.9"/>
    <n v="511.59999999999997"/>
    <n v="350.5"/>
    <n v="520.40000000000009"/>
    <n v="366.29999999999995"/>
  </r>
  <r>
    <s v="Urban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x v="266"/>
    <n v="2293.6999999999998"/>
    <n v="505.29999999999995"/>
    <n v="492.70000000000005"/>
    <n v="344"/>
    <n v="511.59999999999997"/>
    <n v="364.1"/>
  </r>
  <r>
    <s v="Rural+Urban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x v="262"/>
    <n v="2269.2000000000007"/>
    <n v="530.70000000000005"/>
    <n v="501.1"/>
    <n v="348"/>
    <n v="516.29999999999995"/>
    <n v="364.1"/>
  </r>
  <r>
    <s v="Rural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69.5"/>
    <n v="179.7"/>
    <n v="173.6"/>
    <n v="180.2"/>
    <n v="166.9"/>
    <n v="170"/>
    <n v="176.2"/>
    <n v="170.8"/>
    <n v="173.1"/>
    <x v="267"/>
    <n v="2267.7999999999997"/>
    <n v="552.5"/>
    <n v="513.1"/>
    <n v="351"/>
    <n v="522.79999999999995"/>
    <n v="367.6"/>
  </r>
  <r>
    <s v="Urban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x v="268"/>
    <n v="2306.4"/>
    <n v="509.7"/>
    <n v="494.90000000000003"/>
    <n v="344.9"/>
    <n v="513.70000000000005"/>
    <n v="365.79999999999995"/>
  </r>
  <r>
    <s v="Rural+Urban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x v="265"/>
    <n v="2280.9"/>
    <n v="535.1"/>
    <n v="503"/>
    <n v="348.70000000000005"/>
    <n v="518.5"/>
    <n v="365.6"/>
  </r>
  <r>
    <s v="Rural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71.2"/>
    <n v="180.8"/>
    <n v="174.4"/>
    <n v="181.2"/>
    <n v="167.4"/>
    <n v="170.6"/>
    <n v="176.5"/>
    <n v="172"/>
    <n v="173.9"/>
    <x v="269"/>
    <n v="2284.5"/>
    <n v="556.4"/>
    <n v="514.5"/>
    <n v="353.2"/>
    <n v="526.4"/>
    <n v="368.8"/>
  </r>
  <r>
    <s v="Urban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x v="265"/>
    <n v="2322.3000000000002"/>
    <n v="511.70000000000005"/>
    <n v="496.3"/>
    <n v="347"/>
    <n v="517.20000000000005"/>
    <n v="366.9"/>
  </r>
  <r>
    <s v="Rural+Urban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x v="270"/>
    <n v="2297.2999999999997"/>
    <n v="538.20000000000005"/>
    <n v="504.5"/>
    <n v="350.79999999999995"/>
    <n v="522.1"/>
    <n v="366.8"/>
  </r>
  <r>
    <s v="Rural"/>
    <x v="9"/>
    <x v="1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71.8"/>
    <n v="181.9"/>
    <n v="175.5"/>
    <n v="182.3"/>
    <n v="167.5"/>
    <n v="170.8"/>
    <n v="176.9"/>
    <n v="173.4"/>
    <n v="174.6"/>
    <x v="271"/>
    <n v="2287.6999999999998"/>
    <n v="559.29999999999995"/>
    <n v="515.20000000000005"/>
    <n v="355.70000000000005"/>
    <n v="529.20000000000005"/>
    <n v="370.1"/>
  </r>
  <r>
    <s v="Urban"/>
    <x v="9"/>
    <x v="1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x v="268"/>
    <n v="2314.4"/>
    <n v="514.9"/>
    <n v="497.09999999999997"/>
    <n v="349.6"/>
    <n v="519"/>
    <n v="368"/>
  </r>
  <r>
    <s v="Rural+Urban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x v="272"/>
    <n v="2296.8000000000002"/>
    <n v="541.4"/>
    <n v="505.2"/>
    <n v="353.4"/>
    <n v="524.5"/>
    <n v="368"/>
  </r>
  <r>
    <s v="Rural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70.7"/>
    <n v="182.8"/>
    <n v="176.4"/>
    <n v="183.5"/>
    <n v="167.8"/>
    <n v="171.2"/>
    <n v="177.3"/>
    <n v="175.7"/>
    <n v="175.5"/>
    <x v="273"/>
    <n v="2277.1000000000004"/>
    <n v="561.79999999999995"/>
    <n v="516.29999999999995"/>
    <n v="359.2"/>
    <n v="529.9"/>
    <n v="371.4"/>
  </r>
  <r>
    <s v="Urban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x v="268"/>
    <n v="2295.8000000000002"/>
    <n v="517.9"/>
    <n v="498.30000000000007"/>
    <n v="353.2"/>
    <n v="518.59999999999991"/>
    <n v="369.29999999999995"/>
  </r>
  <r>
    <s v="Rural+Urban"/>
    <x v="9"/>
    <x v="11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x v="274"/>
    <n v="2283.3999999999996"/>
    <n v="544"/>
    <n v="506.4"/>
    <n v="356.9"/>
    <n v="524.79999999999995"/>
    <n v="369.3"/>
  </r>
  <r>
    <s v="Rural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72.1"/>
    <n v="183.2"/>
    <n v="177.2"/>
    <n v="184.7"/>
    <n v="168.2"/>
    <n v="171.8"/>
    <n v="177.8"/>
    <n v="178.4"/>
    <n v="176.5"/>
    <x v="271"/>
    <n v="2283.1999999999998"/>
    <n v="563.9"/>
    <n v="517.79999999999995"/>
    <n v="363.1"/>
    <n v="532.5"/>
    <n v="373.4"/>
  </r>
  <r>
    <s v="Urban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x v="275"/>
    <n v="2310.2000000000003"/>
    <n v="520.6"/>
    <n v="499.1"/>
    <n v="357.3"/>
    <n v="520.20000000000005"/>
    <n v="370.5"/>
  </r>
  <r>
    <s v="Rural+Urban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x v="272"/>
    <n v="2292.7000000000003"/>
    <n v="546.29999999999995"/>
    <n v="507.4"/>
    <n v="360.9"/>
    <n v="527"/>
    <n v="371"/>
  </r>
  <r>
    <s v="Rural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73.5"/>
    <n v="181.6"/>
    <n v="178.6"/>
    <n v="186.6"/>
    <n v="169"/>
    <n v="172.8"/>
    <n v="178.5"/>
    <n v="180.7"/>
    <n v="177.9"/>
    <x v="276"/>
    <n v="2265.7000000000003"/>
    <n v="566.6"/>
    <n v="520.29999999999995"/>
    <n v="367.29999999999995"/>
    <n v="533.70000000000005"/>
    <n v="376.20000000000005"/>
  </r>
  <r>
    <s v="Urban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x v="277"/>
    <n v="2303.1999999999998"/>
    <n v="525.5"/>
    <n v="500.70000000000005"/>
    <n v="362.20000000000005"/>
    <n v="525.5"/>
    <n v="372.7"/>
  </r>
  <r>
    <s v="Rural+Urban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x v="278"/>
    <n v="2279.1"/>
    <n v="550"/>
    <n v="509.5"/>
    <n v="365.4"/>
    <n v="529.79999999999995"/>
    <n v="373.6"/>
  </r>
  <r>
    <s v="Rural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73.5"/>
    <n v="181.4"/>
    <n v="178.6"/>
    <n v="186.6"/>
    <n v="169"/>
    <n v="172.8"/>
    <n v="178.5"/>
    <n v="180.7"/>
    <n v="177.9"/>
    <x v="276"/>
    <n v="2265.8000000000002"/>
    <n v="566.6"/>
    <n v="520.29999999999995"/>
    <n v="367.29999999999995"/>
    <n v="533.5"/>
    <n v="376.3"/>
  </r>
  <r>
    <s v="Urban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x v="277"/>
    <n v="2303.3999999999996"/>
    <n v="525.4"/>
    <n v="500.70000000000005"/>
    <n v="362.3"/>
    <n v="525.29999999999995"/>
    <n v="372.7"/>
  </r>
  <r>
    <s v="Rural+Urban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x v="278"/>
    <n v="2279.1999999999998"/>
    <n v="549.9"/>
    <n v="509.5"/>
    <n v="365.4"/>
    <n v="529.59999999999991"/>
    <n v="373.6"/>
  </r>
  <r>
    <s v="Rural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75.2"/>
    <n v="181.5"/>
    <n v="179.1"/>
    <n v="187.2"/>
    <n v="169.4"/>
    <n v="173.2"/>
    <n v="179.4"/>
    <n v="183.8"/>
    <n v="178.9"/>
    <x v="279"/>
    <n v="2274.2000000000003"/>
    <n v="568.20000000000005"/>
    <n v="522"/>
    <n v="371"/>
    <n v="535.79999999999995"/>
    <n v="378.4"/>
  </r>
  <r>
    <s v="Urban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x v="280"/>
    <n v="2317.7000000000003"/>
    <n v="527.6"/>
    <n v="503.09999999999997"/>
    <n v="365.9"/>
    <n v="526.9"/>
    <n v="374.4"/>
  </r>
  <r>
    <s v="Rural+Urban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x v="281"/>
    <n v="2289.6000000000004"/>
    <n v="551.79999999999995"/>
    <n v="511.59999999999997"/>
    <n v="369"/>
    <n v="531.5"/>
    <n v="375.6"/>
  </r>
  <r>
    <s v="Rural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75.6"/>
    <n v="182.5"/>
    <n v="179.8"/>
    <n v="187.8"/>
    <n v="169.7"/>
    <n v="173.8"/>
    <n v="180.3"/>
    <n v="184.9"/>
    <n v="179.5"/>
    <x v="282"/>
    <n v="2290.6999999999998"/>
    <n v="569.90000000000009"/>
    <n v="523.79999999999995"/>
    <n v="372.70000000000005"/>
    <n v="537.90000000000009"/>
    <n v="379.4"/>
  </r>
  <r>
    <s v="Urban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x v="283"/>
    <n v="2335.1"/>
    <n v="528.70000000000005"/>
    <n v="504.40000000000003"/>
    <n v="367.79999999999995"/>
    <n v="529.1"/>
    <n v="375.79999999999995"/>
  </r>
  <r>
    <s v="Rural+Urban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x v="284"/>
    <n v="2306.9"/>
    <n v="553.20000000000005"/>
    <n v="513.09999999999991"/>
    <n v="370.9"/>
    <n v="533.59999999999991"/>
    <n v="376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4D509-40F2-4285-A265-C49B1DFBF2F6}" name="PivotTable1" cacheId="30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7" firstHeaderRow="1" firstDataRow="2" firstDataCol="1"/>
  <pivotFields count="36">
    <pivotField compact="0" outline="0" showAll="0"/>
    <pivotField axis="axisCol" compact="0" outline="0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axis="axisRow" compact="0" outline="0" showAll="0">
      <items count="14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86">
        <item x="1"/>
        <item x="2"/>
        <item x="4"/>
        <item x="7"/>
        <item x="0"/>
        <item x="5"/>
        <item x="8"/>
        <item x="10"/>
        <item x="3"/>
        <item x="6"/>
        <item x="11"/>
        <item x="9"/>
        <item x="13"/>
        <item x="14"/>
        <item x="12"/>
        <item x="15"/>
        <item x="17"/>
        <item x="16"/>
        <item x="18"/>
        <item x="20"/>
        <item x="19"/>
        <item x="21"/>
        <item x="23"/>
        <item x="22"/>
        <item x="35"/>
        <item x="37"/>
        <item x="25"/>
        <item x="33"/>
        <item x="36"/>
        <item x="26"/>
        <item x="28"/>
        <item x="24"/>
        <item x="34"/>
        <item x="38"/>
        <item x="40"/>
        <item x="29"/>
        <item x="31"/>
        <item x="41"/>
        <item x="39"/>
        <item x="27"/>
        <item x="43"/>
        <item x="44"/>
        <item x="42"/>
        <item x="32"/>
        <item x="46"/>
        <item x="47"/>
        <item x="45"/>
        <item x="30"/>
        <item x="60"/>
        <item x="62"/>
        <item x="64"/>
        <item x="49"/>
        <item x="59"/>
        <item x="57"/>
        <item x="50"/>
        <item x="61"/>
        <item x="48"/>
        <item x="65"/>
        <item x="52"/>
        <item x="55"/>
        <item x="66"/>
        <item x="53"/>
        <item x="63"/>
        <item x="51"/>
        <item x="54"/>
        <item x="56"/>
        <item x="58"/>
        <item x="67"/>
        <item x="69"/>
        <item x="71"/>
        <item x="68"/>
        <item x="72"/>
        <item x="76"/>
        <item x="79"/>
        <item x="74"/>
        <item x="90"/>
        <item x="87"/>
        <item x="70"/>
        <item x="82"/>
        <item x="84"/>
        <item x="73"/>
        <item x="77"/>
        <item x="94"/>
        <item x="80"/>
        <item x="91"/>
        <item x="75"/>
        <item x="89"/>
        <item x="85"/>
        <item x="78"/>
        <item x="95"/>
        <item x="112"/>
        <item x="81"/>
        <item x="115"/>
        <item x="86"/>
        <item x="92"/>
        <item x="88"/>
        <item x="117"/>
        <item x="83"/>
        <item x="103"/>
        <item x="109"/>
        <item x="97"/>
        <item x="119"/>
        <item x="93"/>
        <item x="121"/>
        <item x="123"/>
        <item x="125"/>
        <item x="99"/>
        <item x="96"/>
        <item x="113"/>
        <item x="118"/>
        <item x="105"/>
        <item x="101"/>
        <item x="110"/>
        <item x="107"/>
        <item x="128"/>
        <item x="98"/>
        <item x="126"/>
        <item x="114"/>
        <item x="116"/>
        <item x="131"/>
        <item x="111"/>
        <item x="120"/>
        <item x="100"/>
        <item x="122"/>
        <item x="104"/>
        <item x="102"/>
        <item x="108"/>
        <item x="106"/>
        <item x="124"/>
        <item x="145"/>
        <item x="140"/>
        <item x="129"/>
        <item x="138"/>
        <item x="134"/>
        <item x="132"/>
        <item x="136"/>
        <item x="127"/>
        <item x="146"/>
        <item x="148"/>
        <item x="143"/>
        <item x="150"/>
        <item x="141"/>
        <item x="153"/>
        <item x="133"/>
        <item x="130"/>
        <item x="155"/>
        <item x="158"/>
        <item x="135"/>
        <item x="144"/>
        <item x="169"/>
        <item x="147"/>
        <item x="161"/>
        <item x="164"/>
        <item x="149"/>
        <item x="142"/>
        <item x="172"/>
        <item x="168"/>
        <item x="139"/>
        <item x="170"/>
        <item x="137"/>
        <item x="166"/>
        <item x="159"/>
        <item x="156"/>
        <item x="151"/>
        <item x="162"/>
        <item x="167"/>
        <item x="171"/>
        <item x="173"/>
        <item x="152"/>
        <item x="165"/>
        <item x="174"/>
        <item x="157"/>
        <item x="160"/>
        <item x="163"/>
        <item x="154"/>
        <item x="176"/>
        <item x="178"/>
        <item x="175"/>
        <item x="179"/>
        <item x="183"/>
        <item x="177"/>
        <item x="181"/>
        <item x="180"/>
        <item x="184"/>
        <item x="186"/>
        <item x="182"/>
        <item x="189"/>
        <item x="187"/>
        <item x="199"/>
        <item x="196"/>
        <item x="194"/>
        <item x="185"/>
        <item x="190"/>
        <item x="197"/>
        <item x="198"/>
        <item x="188"/>
        <item x="195"/>
        <item x="192"/>
        <item x="202"/>
        <item x="203"/>
        <item x="193"/>
        <item x="191"/>
        <item x="201"/>
        <item x="205"/>
        <item x="200"/>
        <item x="206"/>
        <item x="208"/>
        <item x="204"/>
        <item x="210"/>
        <item x="207"/>
        <item x="219"/>
        <item x="211"/>
        <item x="221"/>
        <item x="222"/>
        <item x="213"/>
        <item x="223"/>
        <item x="216"/>
        <item x="220"/>
        <item x="209"/>
        <item x="224"/>
        <item x="226"/>
        <item x="225"/>
        <item x="214"/>
        <item x="218"/>
        <item x="217"/>
        <item x="228"/>
        <item x="212"/>
        <item x="229"/>
        <item x="215"/>
        <item x="227"/>
        <item x="231"/>
        <item x="233"/>
        <item x="230"/>
        <item x="236"/>
        <item x="234"/>
        <item x="232"/>
        <item x="235"/>
        <item x="237"/>
        <item x="239"/>
        <item x="248"/>
        <item x="245"/>
        <item x="240"/>
        <item x="242"/>
        <item x="249"/>
        <item x="250"/>
        <item x="246"/>
        <item x="238"/>
        <item x="247"/>
        <item x="252"/>
        <item x="243"/>
        <item x="244"/>
        <item x="241"/>
        <item x="253"/>
        <item x="251"/>
        <item x="255"/>
        <item x="256"/>
        <item x="254"/>
        <item x="260"/>
        <item x="258"/>
        <item x="263"/>
        <item x="257"/>
        <item x="261"/>
        <item x="266"/>
        <item x="264"/>
        <item x="259"/>
        <item x="268"/>
        <item x="262"/>
        <item x="275"/>
        <item x="265"/>
        <item x="274"/>
        <item x="277"/>
        <item x="267"/>
        <item x="272"/>
        <item x="270"/>
        <item x="273"/>
        <item x="278"/>
        <item x="280"/>
        <item x="271"/>
        <item x="269"/>
        <item x="276"/>
        <item x="281"/>
        <item x="283"/>
        <item x="279"/>
        <item x="284"/>
        <item x="28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3" outline="0" showAll="0"/>
  </pivotFields>
  <rowFields count="1">
    <field x="2"/>
  </rowFields>
  <rowItems count="3">
    <i>
      <x/>
    </i>
    <i>
      <x v="11"/>
    </i>
    <i t="grand">
      <x/>
    </i>
  </rowItems>
  <colFields count="1">
    <field x="1"/>
  </colFields>
  <col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General index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4497-F6A4-4036-91A9-BCC37B6A2096}">
  <dimension ref="A1:AD373"/>
  <sheetViews>
    <sheetView workbookViewId="0">
      <selection activeCell="D1" sqref="D1"/>
    </sheetView>
  </sheetViews>
  <sheetFormatPr defaultRowHeight="14.4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>
      <c r="A33" t="s">
        <v>33</v>
      </c>
      <c r="B33">
        <v>2013</v>
      </c>
      <c r="C33" t="s">
        <v>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>
      <c r="A34" t="s">
        <v>34</v>
      </c>
      <c r="B34">
        <v>2013</v>
      </c>
      <c r="C34" t="s">
        <v>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>
      <c r="A35" t="s">
        <v>30</v>
      </c>
      <c r="B35">
        <v>2013</v>
      </c>
      <c r="C35" t="s">
        <v>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>
      <c r="A36" t="s">
        <v>33</v>
      </c>
      <c r="B36">
        <v>2013</v>
      </c>
      <c r="C36" t="s">
        <v>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>
      <c r="A37" t="s">
        <v>34</v>
      </c>
      <c r="B37">
        <v>2013</v>
      </c>
      <c r="C37" t="s">
        <v>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>
      <c r="A46" t="s">
        <v>34</v>
      </c>
      <c r="B46">
        <v>2014</v>
      </c>
      <c r="C46" t="s">
        <v>46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>
      <c r="A68" t="s">
        <v>30</v>
      </c>
      <c r="B68">
        <v>2014</v>
      </c>
      <c r="C68" t="s">
        <v>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>
      <c r="A69" t="s">
        <v>33</v>
      </c>
      <c r="B69">
        <v>2014</v>
      </c>
      <c r="C69" t="s">
        <v>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>
      <c r="A70" t="s">
        <v>34</v>
      </c>
      <c r="B70">
        <v>2014</v>
      </c>
      <c r="C70" t="s">
        <v>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>
      <c r="A71" t="s">
        <v>30</v>
      </c>
      <c r="B71">
        <v>2014</v>
      </c>
      <c r="C71" t="s">
        <v>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>
      <c r="A72" t="s">
        <v>33</v>
      </c>
      <c r="B72">
        <v>2014</v>
      </c>
      <c r="C72" t="s">
        <v>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>
      <c r="A73" t="s">
        <v>34</v>
      </c>
      <c r="B73">
        <v>2014</v>
      </c>
      <c r="C73" t="s">
        <v>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>
      <c r="A104" t="s">
        <v>30</v>
      </c>
      <c r="B104">
        <v>2015</v>
      </c>
      <c r="C104" t="s">
        <v>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>
      <c r="A105" t="s">
        <v>33</v>
      </c>
      <c r="B105">
        <v>2015</v>
      </c>
      <c r="C105" t="s">
        <v>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>
      <c r="A106" t="s">
        <v>34</v>
      </c>
      <c r="B106">
        <v>2015</v>
      </c>
      <c r="C106" t="s">
        <v>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>
      <c r="A107" t="s">
        <v>30</v>
      </c>
      <c r="B107">
        <v>2015</v>
      </c>
      <c r="C107" t="s">
        <v>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>
      <c r="A108" t="s">
        <v>33</v>
      </c>
      <c r="B108">
        <v>2015</v>
      </c>
      <c r="C108" t="s">
        <v>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>
      <c r="A109" t="s">
        <v>34</v>
      </c>
      <c r="B109">
        <v>2015</v>
      </c>
      <c r="C109" t="s">
        <v>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>
      <c r="A140" t="s">
        <v>30</v>
      </c>
      <c r="B140">
        <v>2016</v>
      </c>
      <c r="C140" t="s">
        <v>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>
      <c r="A141" t="s">
        <v>33</v>
      </c>
      <c r="B141">
        <v>2016</v>
      </c>
      <c r="C141" t="s">
        <v>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>
      <c r="A142" t="s">
        <v>34</v>
      </c>
      <c r="B142">
        <v>2016</v>
      </c>
      <c r="C142" t="s">
        <v>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>
      <c r="A143" t="s">
        <v>30</v>
      </c>
      <c r="B143">
        <v>2016</v>
      </c>
      <c r="C143" t="s">
        <v>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>
      <c r="A144" t="s">
        <v>33</v>
      </c>
      <c r="B144">
        <v>2016</v>
      </c>
      <c r="C144" t="s">
        <v>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>
      <c r="A145" t="s">
        <v>34</v>
      </c>
      <c r="B145">
        <v>2016</v>
      </c>
      <c r="C145" t="s">
        <v>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>
      <c r="A176" t="s">
        <v>30</v>
      </c>
      <c r="B176">
        <v>2017</v>
      </c>
      <c r="C176" t="s">
        <v>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>
      <c r="A177" t="s">
        <v>33</v>
      </c>
      <c r="B177">
        <v>2017</v>
      </c>
      <c r="C177" t="s">
        <v>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>
      <c r="A178" t="s">
        <v>34</v>
      </c>
      <c r="B178">
        <v>2017</v>
      </c>
      <c r="C178" t="s">
        <v>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>
      <c r="A179" t="s">
        <v>30</v>
      </c>
      <c r="B179">
        <v>2017</v>
      </c>
      <c r="C179" t="s">
        <v>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>
      <c r="A180" t="s">
        <v>33</v>
      </c>
      <c r="B180">
        <v>2017</v>
      </c>
      <c r="C180" t="s">
        <v>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>
      <c r="A181" t="s">
        <v>34</v>
      </c>
      <c r="B181">
        <v>2017</v>
      </c>
      <c r="C181" t="s">
        <v>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>
      <c r="A212" t="s">
        <v>30</v>
      </c>
      <c r="B212">
        <v>2018</v>
      </c>
      <c r="C212" t="s">
        <v>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>
      <c r="A213" t="s">
        <v>33</v>
      </c>
      <c r="B213">
        <v>2018</v>
      </c>
      <c r="C213" t="s">
        <v>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>
      <c r="A214" t="s">
        <v>34</v>
      </c>
      <c r="B214">
        <v>2018</v>
      </c>
      <c r="C214" t="s">
        <v>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>
      <c r="A215" t="s">
        <v>30</v>
      </c>
      <c r="B215">
        <v>2018</v>
      </c>
      <c r="C215" t="s">
        <v>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>
      <c r="A216" t="s">
        <v>33</v>
      </c>
      <c r="B216">
        <v>2018</v>
      </c>
      <c r="C216" t="s">
        <v>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>
      <c r="A217" t="s">
        <v>34</v>
      </c>
      <c r="B217">
        <v>2018</v>
      </c>
      <c r="C217" t="s">
        <v>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>
      <c r="A245" t="s">
        <v>30</v>
      </c>
      <c r="B245">
        <v>2019</v>
      </c>
      <c r="C245" t="s">
        <v>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>
      <c r="A246" t="s">
        <v>33</v>
      </c>
      <c r="B246">
        <v>2019</v>
      </c>
      <c r="C246" t="s">
        <v>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>
      <c r="A247" t="s">
        <v>34</v>
      </c>
      <c r="B247">
        <v>2019</v>
      </c>
      <c r="C247" t="s">
        <v>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>
      <c r="A248" t="s">
        <v>30</v>
      </c>
      <c r="B248">
        <v>2019</v>
      </c>
      <c r="C248" t="s">
        <v>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>
      <c r="A249" t="s">
        <v>33</v>
      </c>
      <c r="B249">
        <v>2019</v>
      </c>
      <c r="C249" t="s">
        <v>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>
      <c r="A250" t="s">
        <v>34</v>
      </c>
      <c r="B250">
        <v>2019</v>
      </c>
      <c r="C250" t="s">
        <v>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>
      <c r="A281" t="s">
        <v>30</v>
      </c>
      <c r="B281">
        <v>2020</v>
      </c>
      <c r="C281" t="s">
        <v>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>
      <c r="A282" t="s">
        <v>33</v>
      </c>
      <c r="B282">
        <v>2020</v>
      </c>
      <c r="C282" t="s">
        <v>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>
      <c r="A283" t="s">
        <v>34</v>
      </c>
      <c r="B283">
        <v>2020</v>
      </c>
      <c r="C283" t="s">
        <v>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>
      <c r="A284" t="s">
        <v>30</v>
      </c>
      <c r="B284">
        <v>2020</v>
      </c>
      <c r="C284" t="s">
        <v>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>
      <c r="A285" t="s">
        <v>33</v>
      </c>
      <c r="B285">
        <v>2020</v>
      </c>
      <c r="C285" t="s">
        <v>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>
      <c r="A286" t="s">
        <v>34</v>
      </c>
      <c r="B286">
        <v>2020</v>
      </c>
      <c r="C286" t="s">
        <v>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47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47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>
      <c r="A317" t="s">
        <v>30</v>
      </c>
      <c r="B317">
        <v>2021</v>
      </c>
      <c r="C317" t="s">
        <v>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>
      <c r="A318" t="s">
        <v>33</v>
      </c>
      <c r="B318">
        <v>2021</v>
      </c>
      <c r="C318" t="s">
        <v>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>
      <c r="A319" t="s">
        <v>34</v>
      </c>
      <c r="B319">
        <v>2021</v>
      </c>
      <c r="C319" t="s">
        <v>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>
      <c r="A320" t="s">
        <v>30</v>
      </c>
      <c r="B320">
        <v>2021</v>
      </c>
      <c r="C320" t="s">
        <v>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>
      <c r="A321" t="s">
        <v>33</v>
      </c>
      <c r="B321">
        <v>2021</v>
      </c>
      <c r="C321" t="s">
        <v>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>
      <c r="A322" t="s">
        <v>34</v>
      </c>
      <c r="B322">
        <v>2021</v>
      </c>
      <c r="C322" t="s">
        <v>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>
      <c r="A353" t="s">
        <v>30</v>
      </c>
      <c r="B353">
        <v>2022</v>
      </c>
      <c r="C353" t="s">
        <v>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>
      <c r="A354" t="s">
        <v>33</v>
      </c>
      <c r="B354">
        <v>2022</v>
      </c>
      <c r="C354" t="s">
        <v>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>
      <c r="A355" t="s">
        <v>34</v>
      </c>
      <c r="B355">
        <v>2022</v>
      </c>
      <c r="C355" t="s">
        <v>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>
      <c r="A356" t="s">
        <v>30</v>
      </c>
      <c r="B356">
        <v>2022</v>
      </c>
      <c r="C356" t="s">
        <v>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>
      <c r="A357" t="s">
        <v>33</v>
      </c>
      <c r="B357">
        <v>2022</v>
      </c>
      <c r="C357" t="s">
        <v>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>
      <c r="A358" t="s">
        <v>34</v>
      </c>
      <c r="B358">
        <v>2022</v>
      </c>
      <c r="C358" t="s">
        <v>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47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47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B327-8208-4C44-8FB7-E1EFFF54C7B3}">
  <dimension ref="A1:AO373"/>
  <sheetViews>
    <sheetView topLeftCell="S1" workbookViewId="0">
      <selection activeCell="AJ2" sqref="AJ2"/>
    </sheetView>
  </sheetViews>
  <sheetFormatPr defaultRowHeight="14.45"/>
  <cols>
    <col min="23" max="23" width="9.28515625" customWidth="1"/>
    <col min="26" max="26" width="13.7109375" customWidth="1"/>
    <col min="28" max="28" width="11.85546875" customWidth="1"/>
    <col min="30" max="30" width="15.7109375" customWidth="1"/>
    <col min="31" max="31" width="14.140625" customWidth="1"/>
    <col min="32" max="32" width="16.7109375" customWidth="1"/>
    <col min="34" max="34" width="12.28515625" bestFit="1" customWidth="1"/>
    <col min="35" max="35" width="10.5703125" style="63" bestFit="1" customWidth="1"/>
    <col min="36" max="36" width="9.140625" style="66"/>
    <col min="37" max="37" width="8.85546875" customWidth="1"/>
    <col min="38" max="38" width="12.85546875" bestFit="1" customWidth="1"/>
    <col min="40" max="40" width="22.42578125" customWidth="1"/>
    <col min="41" max="41" width="10.85546875" bestFit="1" customWidth="1"/>
    <col min="43" max="43" width="15.5703125" bestFit="1" customWidth="1"/>
    <col min="44" max="44" width="10.28515625" bestFit="1" customWidth="1"/>
    <col min="45" max="45" width="9.5703125" bestFit="1" customWidth="1"/>
    <col min="47" max="47" width="14.85546875" bestFit="1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48</v>
      </c>
      <c r="AF1" s="2" t="s">
        <v>49</v>
      </c>
      <c r="AG1" s="2" t="s">
        <v>50</v>
      </c>
      <c r="AH1" s="2" t="s">
        <v>51</v>
      </c>
      <c r="AI1" s="62" t="s">
        <v>52</v>
      </c>
      <c r="AJ1" s="67" t="s">
        <v>53</v>
      </c>
    </row>
    <row r="2" spans="1:41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>P2+O2+N2+M2+L2+K2+J2+I2+H2+G2+F2+E2+D2</f>
        <v>1371.6999999999998</v>
      </c>
      <c r="AF2">
        <f>SUM(R2:T2)</f>
        <v>318.70000000000005</v>
      </c>
      <c r="AG2">
        <f>SUM(Y2,AA2,Z2)</f>
        <v>310.5</v>
      </c>
      <c r="AH2">
        <f>SUM(X2,AB2)</f>
        <v>208.7</v>
      </c>
      <c r="AI2" s="63">
        <f>SUM(U2,V2,W2)</f>
        <v>310.60000000000002</v>
      </c>
      <c r="AJ2" s="66">
        <f>SUM(AC2,Q2)</f>
        <v>209.1</v>
      </c>
    </row>
    <row r="3" spans="1:41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 t="shared" ref="AE3:AE66" si="0">P3+O3+N3+M3+L3+K3+J3+I3+H3+G3+F3+E3+D3</f>
        <v>1376.3999999999996</v>
      </c>
      <c r="AF3">
        <f t="shared" ref="AF3:AF66" si="1">SUM(R3:T3)</f>
        <v>316.7</v>
      </c>
      <c r="AG3">
        <f t="shared" ref="AG3:AG66" si="2">SUM(Y3,AA3,Z3)</f>
        <v>309.60000000000002</v>
      </c>
      <c r="AH3">
        <f t="shared" ref="AH3:AH66" si="3">SUM(X3,AB3)</f>
        <v>208.39999999999998</v>
      </c>
      <c r="AI3" s="63">
        <f t="shared" ref="AI3:AI66" si="4">SUM(U3,V3,W3)</f>
        <v>310.5</v>
      </c>
      <c r="AJ3" s="66">
        <f t="shared" ref="AJ3:AJ66" si="5">SUM(AC3,Q3)</f>
        <v>208.9</v>
      </c>
    </row>
    <row r="4" spans="1:41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 t="shared" si="0"/>
        <v>1373.3000000000002</v>
      </c>
      <c r="AF4">
        <f t="shared" si="1"/>
        <v>318</v>
      </c>
      <c r="AG4">
        <f t="shared" si="2"/>
        <v>309.89999999999998</v>
      </c>
      <c r="AH4">
        <f t="shared" si="3"/>
        <v>208.5</v>
      </c>
      <c r="AI4" s="63">
        <f t="shared" si="4"/>
        <v>310.60000000000002</v>
      </c>
      <c r="AJ4" s="66">
        <f t="shared" si="5"/>
        <v>209</v>
      </c>
    </row>
    <row r="5" spans="1:41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100.4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 t="shared" si="0"/>
        <v>1380.4000000000003</v>
      </c>
      <c r="AF5">
        <f t="shared" si="1"/>
        <v>320.39999999999998</v>
      </c>
      <c r="AG5">
        <f t="shared" si="2"/>
        <v>312</v>
      </c>
      <c r="AH5">
        <f t="shared" si="3"/>
        <v>209</v>
      </c>
      <c r="AI5" s="63">
        <f t="shared" si="4"/>
        <v>311.8</v>
      </c>
      <c r="AJ5" s="66">
        <f t="shared" si="5"/>
        <v>210</v>
      </c>
    </row>
    <row r="6" spans="1:41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 t="shared" si="0"/>
        <v>1390.6000000000004</v>
      </c>
      <c r="AF6">
        <f t="shared" si="1"/>
        <v>318.5</v>
      </c>
      <c r="AG6">
        <f t="shared" si="2"/>
        <v>311.40000000000003</v>
      </c>
      <c r="AH6">
        <f t="shared" si="3"/>
        <v>209</v>
      </c>
      <c r="AI6" s="63">
        <f t="shared" si="4"/>
        <v>311.3</v>
      </c>
      <c r="AJ6" s="66">
        <f t="shared" si="5"/>
        <v>210.3</v>
      </c>
    </row>
    <row r="7" spans="1:41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 t="shared" si="0"/>
        <v>1384.2</v>
      </c>
      <c r="AF7">
        <f t="shared" si="1"/>
        <v>319.7</v>
      </c>
      <c r="AG7">
        <f t="shared" si="2"/>
        <v>311.70000000000005</v>
      </c>
      <c r="AH7">
        <f t="shared" si="3"/>
        <v>209</v>
      </c>
      <c r="AI7" s="63">
        <f t="shared" si="4"/>
        <v>311.60000000000002</v>
      </c>
      <c r="AJ7" s="66">
        <f t="shared" si="5"/>
        <v>210.10000000000002</v>
      </c>
      <c r="AL7" s="61"/>
      <c r="AN7" s="61"/>
      <c r="AO7" s="61"/>
    </row>
    <row r="8" spans="1:41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100.4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 t="shared" si="0"/>
        <v>1382.2000000000003</v>
      </c>
      <c r="AF8">
        <f t="shared" si="1"/>
        <v>321.89999999999998</v>
      </c>
      <c r="AG8">
        <f t="shared" si="2"/>
        <v>312.89999999999998</v>
      </c>
      <c r="AH8">
        <f t="shared" si="3"/>
        <v>209</v>
      </c>
      <c r="AI8" s="63">
        <f t="shared" si="4"/>
        <v>312.10000000000002</v>
      </c>
      <c r="AJ8" s="66">
        <f t="shared" si="5"/>
        <v>211.1</v>
      </c>
    </row>
    <row r="9" spans="1:41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 t="shared" si="0"/>
        <v>1386.8000000000002</v>
      </c>
      <c r="AF9">
        <f t="shared" si="1"/>
        <v>320.2</v>
      </c>
      <c r="AG9">
        <f t="shared" si="2"/>
        <v>312.8</v>
      </c>
      <c r="AH9">
        <f t="shared" si="3"/>
        <v>209.4</v>
      </c>
      <c r="AI9" s="63">
        <f t="shared" si="4"/>
        <v>312.10000000000002</v>
      </c>
      <c r="AJ9" s="66">
        <f t="shared" si="5"/>
        <v>211.7</v>
      </c>
      <c r="AL9" s="61"/>
    </row>
    <row r="10" spans="1:41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 t="shared" si="0"/>
        <v>1384.0000000000002</v>
      </c>
      <c r="AF10">
        <f t="shared" si="1"/>
        <v>321.2</v>
      </c>
      <c r="AG10">
        <f t="shared" si="2"/>
        <v>312.8</v>
      </c>
      <c r="AH10">
        <f t="shared" si="3"/>
        <v>209.2</v>
      </c>
      <c r="AI10" s="63">
        <f t="shared" si="4"/>
        <v>312.10000000000002</v>
      </c>
      <c r="AJ10" s="66">
        <f t="shared" si="5"/>
        <v>211.3</v>
      </c>
    </row>
    <row r="11" spans="1:41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100.5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 t="shared" si="0"/>
        <v>1385.8000000000002</v>
      </c>
      <c r="AF11">
        <f t="shared" si="1"/>
        <v>323.5</v>
      </c>
      <c r="AG11">
        <f t="shared" si="2"/>
        <v>313.7</v>
      </c>
      <c r="AH11">
        <f t="shared" si="3"/>
        <v>207.8</v>
      </c>
      <c r="AI11" s="63">
        <f t="shared" si="4"/>
        <v>313.10000000000002</v>
      </c>
      <c r="AJ11" s="66">
        <f t="shared" si="5"/>
        <v>211.7</v>
      </c>
    </row>
    <row r="12" spans="1:41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 t="shared" si="0"/>
        <v>1397.7</v>
      </c>
      <c r="AF12">
        <f t="shared" si="1"/>
        <v>322</v>
      </c>
      <c r="AG12">
        <f t="shared" si="2"/>
        <v>314.2</v>
      </c>
      <c r="AH12">
        <f t="shared" si="3"/>
        <v>208.9</v>
      </c>
      <c r="AI12" s="63">
        <f t="shared" si="4"/>
        <v>313.39999999999998</v>
      </c>
      <c r="AJ12" s="66">
        <f t="shared" si="5"/>
        <v>213.6</v>
      </c>
    </row>
    <row r="13" spans="1:41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 t="shared" si="0"/>
        <v>1390.1999999999998</v>
      </c>
      <c r="AF13">
        <f t="shared" si="1"/>
        <v>322.89999999999998</v>
      </c>
      <c r="AG13">
        <f t="shared" si="2"/>
        <v>313.89999999999998</v>
      </c>
      <c r="AH13">
        <f t="shared" si="3"/>
        <v>208.2</v>
      </c>
      <c r="AI13" s="63">
        <f t="shared" si="4"/>
        <v>313.3</v>
      </c>
      <c r="AJ13" s="66">
        <f t="shared" si="5"/>
        <v>212.3</v>
      </c>
    </row>
    <row r="14" spans="1:41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100.5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 t="shared" si="0"/>
        <v>1394.0000000000002</v>
      </c>
      <c r="AF14">
        <f t="shared" si="1"/>
        <v>325.29999999999995</v>
      </c>
      <c r="AG14">
        <f t="shared" si="2"/>
        <v>314.60000000000002</v>
      </c>
      <c r="AH14">
        <f t="shared" si="3"/>
        <v>207.8</v>
      </c>
      <c r="AI14" s="63">
        <f t="shared" si="4"/>
        <v>314.8</v>
      </c>
      <c r="AJ14" s="66">
        <f t="shared" si="5"/>
        <v>212.89999999999998</v>
      </c>
    </row>
    <row r="15" spans="1:41" ht="1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 t="shared" si="0"/>
        <v>1417.2000000000003</v>
      </c>
      <c r="AF15">
        <f t="shared" si="1"/>
        <v>323.5</v>
      </c>
      <c r="AG15">
        <f t="shared" si="2"/>
        <v>314.20000000000005</v>
      </c>
      <c r="AH15">
        <f t="shared" si="3"/>
        <v>208.8</v>
      </c>
      <c r="AI15" s="63">
        <f t="shared" si="4"/>
        <v>314.79999999999995</v>
      </c>
      <c r="AJ15" s="66">
        <f t="shared" si="5"/>
        <v>214.7</v>
      </c>
      <c r="AL15" s="65"/>
    </row>
    <row r="16" spans="1:41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 t="shared" si="0"/>
        <v>1402.1999999999998</v>
      </c>
      <c r="AF16">
        <f t="shared" si="1"/>
        <v>324.60000000000002</v>
      </c>
      <c r="AG16">
        <f t="shared" si="2"/>
        <v>314.39999999999998</v>
      </c>
      <c r="AH16">
        <f t="shared" si="3"/>
        <v>208.2</v>
      </c>
      <c r="AI16" s="63">
        <f t="shared" si="4"/>
        <v>314.8</v>
      </c>
      <c r="AJ16" s="66">
        <f t="shared" si="5"/>
        <v>213.39999999999998</v>
      </c>
    </row>
    <row r="17" spans="1:40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106.6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 t="shared" si="0"/>
        <v>1419.9999999999998</v>
      </c>
      <c r="AF17">
        <f t="shared" si="1"/>
        <v>328</v>
      </c>
      <c r="AG17">
        <f t="shared" si="2"/>
        <v>317.10000000000002</v>
      </c>
      <c r="AH17">
        <f t="shared" si="3"/>
        <v>208.8</v>
      </c>
      <c r="AI17" s="63">
        <f t="shared" si="4"/>
        <v>322.60000000000002</v>
      </c>
      <c r="AJ17" s="66">
        <f t="shared" si="5"/>
        <v>214.5</v>
      </c>
    </row>
    <row r="18" spans="1:40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 t="shared" si="0"/>
        <v>1464.6</v>
      </c>
      <c r="AF18">
        <f t="shared" si="1"/>
        <v>325.3</v>
      </c>
      <c r="AG18">
        <f t="shared" si="2"/>
        <v>318.5</v>
      </c>
      <c r="AH18">
        <f t="shared" si="3"/>
        <v>209.8</v>
      </c>
      <c r="AI18" s="63">
        <f t="shared" si="4"/>
        <v>322.3</v>
      </c>
      <c r="AJ18" s="66">
        <f t="shared" si="5"/>
        <v>217</v>
      </c>
    </row>
    <row r="19" spans="1:40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 t="shared" si="0"/>
        <v>1436.0000000000002</v>
      </c>
      <c r="AF19">
        <f t="shared" si="1"/>
        <v>326.89999999999998</v>
      </c>
      <c r="AG19">
        <f t="shared" si="2"/>
        <v>317.89999999999998</v>
      </c>
      <c r="AH19">
        <f t="shared" si="3"/>
        <v>209.2</v>
      </c>
      <c r="AI19" s="63">
        <f t="shared" si="4"/>
        <v>322.5</v>
      </c>
      <c r="AJ19" s="66">
        <f t="shared" si="5"/>
        <v>215.3</v>
      </c>
    </row>
    <row r="20" spans="1:40" ht="19.5" customHeight="1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107.7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 t="shared" si="0"/>
        <v>1445.9</v>
      </c>
      <c r="AF20">
        <f t="shared" si="1"/>
        <v>330.3</v>
      </c>
      <c r="AG20">
        <f t="shared" si="2"/>
        <v>321</v>
      </c>
      <c r="AH20">
        <f t="shared" si="3"/>
        <v>209.4</v>
      </c>
      <c r="AI20" s="63">
        <f t="shared" si="4"/>
        <v>325.5</v>
      </c>
      <c r="AJ20" s="66">
        <f t="shared" si="5"/>
        <v>216.3</v>
      </c>
      <c r="AN20" s="64"/>
    </row>
    <row r="21" spans="1:40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 t="shared" si="0"/>
        <v>1489.3999999999999</v>
      </c>
      <c r="AF21">
        <f t="shared" si="1"/>
        <v>327.10000000000002</v>
      </c>
      <c r="AG21">
        <f t="shared" si="2"/>
        <v>323.29999999999995</v>
      </c>
      <c r="AH21">
        <f t="shared" si="3"/>
        <v>210.3</v>
      </c>
      <c r="AI21" s="63">
        <f t="shared" si="4"/>
        <v>324.39999999999998</v>
      </c>
      <c r="AJ21" s="66">
        <f t="shared" si="5"/>
        <v>219</v>
      </c>
    </row>
    <row r="22" spans="1:40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 t="shared" si="0"/>
        <v>1461.4</v>
      </c>
      <c r="AF22">
        <f t="shared" si="1"/>
        <v>329</v>
      </c>
      <c r="AG22">
        <f t="shared" si="2"/>
        <v>322.29999999999995</v>
      </c>
      <c r="AH22">
        <f t="shared" si="3"/>
        <v>209.8</v>
      </c>
      <c r="AI22" s="63">
        <f t="shared" si="4"/>
        <v>325.10000000000002</v>
      </c>
      <c r="AJ22" s="66">
        <f t="shared" si="5"/>
        <v>217.2</v>
      </c>
    </row>
    <row r="23" spans="1:40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108.9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 t="shared" si="0"/>
        <v>1462.4999999999998</v>
      </c>
      <c r="AF23">
        <f t="shared" si="1"/>
        <v>332.6</v>
      </c>
      <c r="AG23">
        <f t="shared" si="2"/>
        <v>323.3</v>
      </c>
      <c r="AH23">
        <f t="shared" si="3"/>
        <v>212.5</v>
      </c>
      <c r="AI23" s="63">
        <f t="shared" si="4"/>
        <v>327.5</v>
      </c>
      <c r="AJ23" s="66">
        <f t="shared" si="5"/>
        <v>218.2</v>
      </c>
    </row>
    <row r="24" spans="1:40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 t="shared" si="0"/>
        <v>1506.1000000000001</v>
      </c>
      <c r="AF24">
        <f t="shared" si="1"/>
        <v>329.09999999999997</v>
      </c>
      <c r="AG24">
        <f t="shared" si="2"/>
        <v>325.39999999999998</v>
      </c>
      <c r="AH24">
        <f t="shared" si="3"/>
        <v>213.6</v>
      </c>
      <c r="AI24" s="63">
        <f t="shared" si="4"/>
        <v>326.89999999999998</v>
      </c>
      <c r="AJ24" s="66">
        <f t="shared" si="5"/>
        <v>220.7</v>
      </c>
    </row>
    <row r="25" spans="1:40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 t="shared" si="0"/>
        <v>1477.3999999999999</v>
      </c>
      <c r="AF25">
        <f t="shared" si="1"/>
        <v>331.1</v>
      </c>
      <c r="AG25">
        <f t="shared" si="2"/>
        <v>324.5</v>
      </c>
      <c r="AH25">
        <f t="shared" si="3"/>
        <v>212.9</v>
      </c>
      <c r="AI25" s="63">
        <f t="shared" si="4"/>
        <v>327.3</v>
      </c>
      <c r="AJ25" s="66">
        <f t="shared" si="5"/>
        <v>219.10000000000002</v>
      </c>
    </row>
    <row r="26" spans="1:40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109.7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 t="shared" si="0"/>
        <v>1488.5000000000002</v>
      </c>
      <c r="AF26">
        <f t="shared" si="1"/>
        <v>336.6</v>
      </c>
      <c r="AG26">
        <f t="shared" si="2"/>
        <v>326.8</v>
      </c>
      <c r="AH26">
        <f t="shared" si="3"/>
        <v>215</v>
      </c>
      <c r="AI26" s="63">
        <f t="shared" si="4"/>
        <v>330.4</v>
      </c>
      <c r="AJ26" s="66">
        <f t="shared" si="5"/>
        <v>220.4</v>
      </c>
    </row>
    <row r="27" spans="1:40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 t="shared" si="0"/>
        <v>1500.3999999999999</v>
      </c>
      <c r="AF27">
        <f t="shared" si="1"/>
        <v>331.5</v>
      </c>
      <c r="AG27">
        <f t="shared" si="2"/>
        <v>329</v>
      </c>
      <c r="AH27">
        <f t="shared" si="3"/>
        <v>214.8</v>
      </c>
      <c r="AI27" s="63">
        <f t="shared" si="4"/>
        <v>328.79999999999995</v>
      </c>
      <c r="AJ27" s="66">
        <f t="shared" si="5"/>
        <v>222.3</v>
      </c>
    </row>
    <row r="28" spans="1:40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 t="shared" si="0"/>
        <v>1491.7</v>
      </c>
      <c r="AF28">
        <f t="shared" si="1"/>
        <v>334.5</v>
      </c>
      <c r="AG28">
        <f t="shared" si="2"/>
        <v>328</v>
      </c>
      <c r="AH28">
        <f t="shared" si="3"/>
        <v>214.89999999999998</v>
      </c>
      <c r="AI28" s="63">
        <f t="shared" si="4"/>
        <v>329.79999999999995</v>
      </c>
      <c r="AJ28" s="66">
        <f t="shared" si="5"/>
        <v>221</v>
      </c>
    </row>
    <row r="29" spans="1:40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110.5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 t="shared" si="0"/>
        <v>1508</v>
      </c>
      <c r="AF29">
        <f t="shared" si="1"/>
        <v>339.29999999999995</v>
      </c>
      <c r="AG29">
        <f t="shared" si="2"/>
        <v>327.8</v>
      </c>
      <c r="AH29">
        <f t="shared" si="3"/>
        <v>216.4</v>
      </c>
      <c r="AI29" s="63">
        <f t="shared" si="4"/>
        <v>332.5</v>
      </c>
      <c r="AJ29" s="66">
        <f t="shared" si="5"/>
        <v>221.3</v>
      </c>
    </row>
    <row r="30" spans="1:40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 t="shared" si="0"/>
        <v>1517.2000000000003</v>
      </c>
      <c r="AF30">
        <f t="shared" si="1"/>
        <v>334.2</v>
      </c>
      <c r="AG30">
        <f t="shared" si="2"/>
        <v>329</v>
      </c>
      <c r="AH30">
        <f t="shared" si="3"/>
        <v>215.5</v>
      </c>
      <c r="AI30" s="63">
        <f t="shared" si="4"/>
        <v>330.4</v>
      </c>
      <c r="AJ30" s="66">
        <f t="shared" si="5"/>
        <v>222.9</v>
      </c>
    </row>
    <row r="31" spans="1:40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 t="shared" si="0"/>
        <v>1510.1999999999998</v>
      </c>
      <c r="AF31">
        <f t="shared" si="1"/>
        <v>337.2</v>
      </c>
      <c r="AG31">
        <f t="shared" si="2"/>
        <v>328.4</v>
      </c>
      <c r="AH31">
        <f t="shared" si="3"/>
        <v>216</v>
      </c>
      <c r="AI31" s="63">
        <f t="shared" si="4"/>
        <v>331.7</v>
      </c>
      <c r="AJ31" s="66">
        <f t="shared" si="5"/>
        <v>221.7</v>
      </c>
    </row>
    <row r="32" spans="1:40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111.1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f t="shared" si="0"/>
        <v>1536.8000000000002</v>
      </c>
      <c r="AF32">
        <f t="shared" si="1"/>
        <v>342.1</v>
      </c>
      <c r="AG32">
        <f t="shared" si="2"/>
        <v>329.3</v>
      </c>
      <c r="AH32">
        <f t="shared" si="3"/>
        <v>217.9</v>
      </c>
      <c r="AI32" s="63">
        <f t="shared" si="4"/>
        <v>335</v>
      </c>
      <c r="AJ32" s="66">
        <f t="shared" si="5"/>
        <v>222.6</v>
      </c>
    </row>
    <row r="33" spans="1:36">
      <c r="A33" t="s">
        <v>33</v>
      </c>
      <c r="B33">
        <v>2013</v>
      </c>
      <c r="C33" t="s">
        <v>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 t="shared" si="0"/>
        <v>1544.6</v>
      </c>
      <c r="AF33">
        <f t="shared" si="1"/>
        <v>336.8</v>
      </c>
      <c r="AG33">
        <f t="shared" si="2"/>
        <v>329.3</v>
      </c>
      <c r="AH33">
        <f t="shared" si="3"/>
        <v>216.5</v>
      </c>
      <c r="AI33" s="63">
        <f t="shared" si="4"/>
        <v>332</v>
      </c>
      <c r="AJ33" s="66">
        <f t="shared" si="5"/>
        <v>223.7</v>
      </c>
    </row>
    <row r="34" spans="1:36">
      <c r="A34" t="s">
        <v>34</v>
      </c>
      <c r="B34">
        <v>2013</v>
      </c>
      <c r="C34" t="s">
        <v>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 t="shared" si="0"/>
        <v>1538.8000000000002</v>
      </c>
      <c r="AF34">
        <f t="shared" si="1"/>
        <v>339.90000000000003</v>
      </c>
      <c r="AG34">
        <f t="shared" si="2"/>
        <v>329.29999999999995</v>
      </c>
      <c r="AH34">
        <f t="shared" si="3"/>
        <v>217.39999999999998</v>
      </c>
      <c r="AI34" s="63">
        <f t="shared" si="4"/>
        <v>333.79999999999995</v>
      </c>
      <c r="AJ34" s="66">
        <f t="shared" si="5"/>
        <v>222.8</v>
      </c>
    </row>
    <row r="35" spans="1:36">
      <c r="A35" t="s">
        <v>30</v>
      </c>
      <c r="B35">
        <v>2013</v>
      </c>
      <c r="C35" t="s">
        <v>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110.7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 t="shared" si="0"/>
        <v>1509.0000000000002</v>
      </c>
      <c r="AF35">
        <f t="shared" si="1"/>
        <v>345.3</v>
      </c>
      <c r="AG35">
        <f t="shared" si="2"/>
        <v>330.7</v>
      </c>
      <c r="AH35">
        <f t="shared" si="3"/>
        <v>218.2</v>
      </c>
      <c r="AI35" s="63">
        <f t="shared" si="4"/>
        <v>335.6</v>
      </c>
      <c r="AJ35" s="66">
        <f t="shared" si="5"/>
        <v>223.7</v>
      </c>
    </row>
    <row r="36" spans="1:36">
      <c r="A36" t="s">
        <v>33</v>
      </c>
      <c r="B36">
        <v>2013</v>
      </c>
      <c r="C36" t="s">
        <v>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 t="shared" si="0"/>
        <v>1504.4</v>
      </c>
      <c r="AF36">
        <f t="shared" si="1"/>
        <v>338.8</v>
      </c>
      <c r="AG36">
        <f t="shared" si="2"/>
        <v>330</v>
      </c>
      <c r="AH36">
        <f t="shared" si="3"/>
        <v>216.7</v>
      </c>
      <c r="AI36" s="63">
        <f t="shared" si="4"/>
        <v>332.40000000000003</v>
      </c>
      <c r="AJ36" s="66">
        <f t="shared" si="5"/>
        <v>224.8</v>
      </c>
    </row>
    <row r="37" spans="1:36">
      <c r="A37" t="s">
        <v>34</v>
      </c>
      <c r="B37">
        <v>2013</v>
      </c>
      <c r="C37" t="s">
        <v>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 t="shared" si="0"/>
        <v>1507.3</v>
      </c>
      <c r="AF37">
        <f t="shared" si="1"/>
        <v>342.7</v>
      </c>
      <c r="AG37">
        <f t="shared" si="2"/>
        <v>330.3</v>
      </c>
      <c r="AH37">
        <f t="shared" si="3"/>
        <v>217.60000000000002</v>
      </c>
      <c r="AI37" s="63">
        <f t="shared" si="4"/>
        <v>334.3</v>
      </c>
      <c r="AJ37" s="66">
        <f t="shared" si="5"/>
        <v>224</v>
      </c>
    </row>
    <row r="38" spans="1:36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111.6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 t="shared" si="0"/>
        <v>1486.6000000000001</v>
      </c>
      <c r="AF38">
        <f t="shared" si="1"/>
        <v>347.2</v>
      </c>
      <c r="AG38">
        <f t="shared" si="2"/>
        <v>331.9</v>
      </c>
      <c r="AH38">
        <f t="shared" si="3"/>
        <v>218.89999999999998</v>
      </c>
      <c r="AI38" s="63">
        <f t="shared" si="4"/>
        <v>337.2</v>
      </c>
      <c r="AJ38" s="66">
        <f t="shared" si="5"/>
        <v>224.6</v>
      </c>
    </row>
    <row r="39" spans="1:36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 t="shared" si="0"/>
        <v>1484.3000000000002</v>
      </c>
      <c r="AF39">
        <f t="shared" si="1"/>
        <v>340.4</v>
      </c>
      <c r="AG39">
        <f t="shared" si="2"/>
        <v>332.1</v>
      </c>
      <c r="AH39">
        <f t="shared" si="3"/>
        <v>217.7</v>
      </c>
      <c r="AI39" s="63">
        <f t="shared" si="4"/>
        <v>334.5</v>
      </c>
      <c r="AJ39" s="66">
        <f t="shared" si="5"/>
        <v>226.2</v>
      </c>
    </row>
    <row r="40" spans="1:36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 t="shared" si="0"/>
        <v>1485.7999999999997</v>
      </c>
      <c r="AF40">
        <f t="shared" si="1"/>
        <v>344.4</v>
      </c>
      <c r="AG40">
        <f t="shared" si="2"/>
        <v>332</v>
      </c>
      <c r="AH40">
        <f t="shared" si="3"/>
        <v>218.5</v>
      </c>
      <c r="AI40" s="63">
        <f t="shared" si="4"/>
        <v>336.1</v>
      </c>
      <c r="AJ40" s="66">
        <f t="shared" si="5"/>
        <v>225.1</v>
      </c>
    </row>
    <row r="41" spans="1:36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112.5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 t="shared" si="0"/>
        <v>1482.2000000000003</v>
      </c>
      <c r="AF41">
        <f t="shared" si="1"/>
        <v>348.3</v>
      </c>
      <c r="AG41">
        <f t="shared" si="2"/>
        <v>332.70000000000005</v>
      </c>
      <c r="AH41">
        <f t="shared" si="3"/>
        <v>219.60000000000002</v>
      </c>
      <c r="AI41" s="63">
        <f t="shared" si="4"/>
        <v>338.6</v>
      </c>
      <c r="AJ41" s="66">
        <f t="shared" si="5"/>
        <v>225.10000000000002</v>
      </c>
    </row>
    <row r="42" spans="1:36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 t="shared" si="0"/>
        <v>1476.0000000000002</v>
      </c>
      <c r="AF42">
        <f t="shared" si="1"/>
        <v>341.7</v>
      </c>
      <c r="AG42">
        <f t="shared" si="2"/>
        <v>333.2</v>
      </c>
      <c r="AH42">
        <f t="shared" si="3"/>
        <v>219.10000000000002</v>
      </c>
      <c r="AI42" s="63">
        <f t="shared" si="4"/>
        <v>336.2</v>
      </c>
      <c r="AJ42" s="66">
        <f t="shared" si="5"/>
        <v>227.2</v>
      </c>
    </row>
    <row r="43" spans="1:36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 t="shared" si="0"/>
        <v>1480.1000000000001</v>
      </c>
      <c r="AF43">
        <f t="shared" si="1"/>
        <v>345.6</v>
      </c>
      <c r="AG43">
        <f t="shared" si="2"/>
        <v>333</v>
      </c>
      <c r="AH43">
        <f t="shared" si="3"/>
        <v>219.4</v>
      </c>
      <c r="AI43" s="63">
        <f t="shared" si="4"/>
        <v>337.7</v>
      </c>
      <c r="AJ43" s="66">
        <f t="shared" si="5"/>
        <v>225.60000000000002</v>
      </c>
    </row>
    <row r="44" spans="1:36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113.2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 t="shared" si="0"/>
        <v>1491.3999999999999</v>
      </c>
      <c r="AF44">
        <f t="shared" si="1"/>
        <v>349.6</v>
      </c>
      <c r="AG44">
        <f t="shared" si="2"/>
        <v>333.8</v>
      </c>
      <c r="AH44">
        <f t="shared" si="3"/>
        <v>220.3</v>
      </c>
      <c r="AI44" s="63">
        <f t="shared" si="4"/>
        <v>340</v>
      </c>
      <c r="AJ44" s="66">
        <f t="shared" si="5"/>
        <v>225.89999999999998</v>
      </c>
    </row>
    <row r="45" spans="1:36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 t="shared" si="0"/>
        <v>1482.9999999999998</v>
      </c>
      <c r="AF45">
        <f t="shared" si="1"/>
        <v>343.09999999999997</v>
      </c>
      <c r="AG45">
        <f t="shared" si="2"/>
        <v>334.29999999999995</v>
      </c>
      <c r="AH45">
        <f t="shared" si="3"/>
        <v>220</v>
      </c>
      <c r="AI45" s="63">
        <f t="shared" si="4"/>
        <v>337.1</v>
      </c>
      <c r="AJ45" s="66">
        <f t="shared" si="5"/>
        <v>228.10000000000002</v>
      </c>
    </row>
    <row r="46" spans="1:36">
      <c r="A46" t="s">
        <v>34</v>
      </c>
      <c r="B46">
        <v>2014</v>
      </c>
      <c r="C46" t="s">
        <v>46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 t="shared" si="0"/>
        <v>1488.3</v>
      </c>
      <c r="AF46">
        <f t="shared" si="1"/>
        <v>346.9</v>
      </c>
      <c r="AG46">
        <f t="shared" si="2"/>
        <v>334</v>
      </c>
      <c r="AH46">
        <f t="shared" si="3"/>
        <v>220.2</v>
      </c>
      <c r="AI46" s="63">
        <f t="shared" si="4"/>
        <v>338.9</v>
      </c>
      <c r="AJ46" s="66">
        <f t="shared" si="5"/>
        <v>226.5</v>
      </c>
    </row>
    <row r="47" spans="1:36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113.9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 t="shared" si="0"/>
        <v>1504.1</v>
      </c>
      <c r="AF47">
        <f t="shared" si="1"/>
        <v>352</v>
      </c>
      <c r="AG47">
        <f t="shared" si="2"/>
        <v>334.7</v>
      </c>
      <c r="AH47">
        <f t="shared" si="3"/>
        <v>220.7</v>
      </c>
      <c r="AI47" s="63">
        <f t="shared" si="4"/>
        <v>341</v>
      </c>
      <c r="AJ47" s="66">
        <f t="shared" si="5"/>
        <v>226.9</v>
      </c>
    </row>
    <row r="48" spans="1:36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 t="shared" si="0"/>
        <v>1504</v>
      </c>
      <c r="AF48">
        <f t="shared" si="1"/>
        <v>344.5</v>
      </c>
      <c r="AG48">
        <f t="shared" si="2"/>
        <v>334.9</v>
      </c>
      <c r="AH48">
        <f t="shared" si="3"/>
        <v>220.1</v>
      </c>
      <c r="AI48" s="63">
        <f t="shared" si="4"/>
        <v>338.20000000000005</v>
      </c>
      <c r="AJ48" s="66">
        <f t="shared" si="5"/>
        <v>229</v>
      </c>
    </row>
    <row r="49" spans="1:36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 t="shared" si="0"/>
        <v>1504.1000000000001</v>
      </c>
      <c r="AF49">
        <f t="shared" si="1"/>
        <v>349</v>
      </c>
      <c r="AG49">
        <f t="shared" si="2"/>
        <v>334.8</v>
      </c>
      <c r="AH49">
        <f t="shared" si="3"/>
        <v>220.5</v>
      </c>
      <c r="AI49" s="63">
        <f t="shared" si="4"/>
        <v>340</v>
      </c>
      <c r="AJ49" s="66">
        <f t="shared" si="5"/>
        <v>227.5</v>
      </c>
    </row>
    <row r="50" spans="1:36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114.3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 t="shared" si="0"/>
        <v>1513.9</v>
      </c>
      <c r="AF50">
        <f t="shared" si="1"/>
        <v>354</v>
      </c>
      <c r="AG50">
        <f t="shared" si="2"/>
        <v>335.4</v>
      </c>
      <c r="AH50">
        <f t="shared" si="3"/>
        <v>221</v>
      </c>
      <c r="AI50" s="63">
        <f t="shared" si="4"/>
        <v>341.79999999999995</v>
      </c>
      <c r="AJ50" s="66">
        <f t="shared" si="5"/>
        <v>228.1</v>
      </c>
    </row>
    <row r="51" spans="1:36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 t="shared" si="0"/>
        <v>1525.3</v>
      </c>
      <c r="AF51">
        <f t="shared" si="1"/>
        <v>345.9</v>
      </c>
      <c r="AG51">
        <f t="shared" si="2"/>
        <v>335.7</v>
      </c>
      <c r="AH51">
        <f t="shared" si="3"/>
        <v>220.5</v>
      </c>
      <c r="AI51" s="63">
        <f t="shared" si="4"/>
        <v>339.5</v>
      </c>
      <c r="AJ51" s="66">
        <f t="shared" si="5"/>
        <v>230</v>
      </c>
    </row>
    <row r="52" spans="1:36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 t="shared" si="0"/>
        <v>1518.5</v>
      </c>
      <c r="AF52">
        <f t="shared" si="1"/>
        <v>350.79999999999995</v>
      </c>
      <c r="AG52">
        <f t="shared" si="2"/>
        <v>335.5</v>
      </c>
      <c r="AH52">
        <f t="shared" si="3"/>
        <v>220.89999999999998</v>
      </c>
      <c r="AI52" s="63">
        <f t="shared" si="4"/>
        <v>340.9</v>
      </c>
      <c r="AJ52" s="66">
        <f t="shared" si="5"/>
        <v>228.6</v>
      </c>
    </row>
    <row r="53" spans="1:36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113.9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 t="shared" si="0"/>
        <v>1525.6999999999998</v>
      </c>
      <c r="AF53">
        <f t="shared" si="1"/>
        <v>356.3</v>
      </c>
      <c r="AG53">
        <f t="shared" si="2"/>
        <v>337.9</v>
      </c>
      <c r="AH53">
        <f t="shared" si="3"/>
        <v>220.8</v>
      </c>
      <c r="AI53" s="63">
        <f t="shared" si="4"/>
        <v>343.20000000000005</v>
      </c>
      <c r="AJ53" s="66">
        <f t="shared" si="5"/>
        <v>229.6</v>
      </c>
    </row>
    <row r="54" spans="1:36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 t="shared" si="0"/>
        <v>1547.0000000000002</v>
      </c>
      <c r="AF54">
        <f t="shared" si="1"/>
        <v>347.3</v>
      </c>
      <c r="AG54">
        <f t="shared" si="2"/>
        <v>338.4</v>
      </c>
      <c r="AH54">
        <f t="shared" si="3"/>
        <v>220.10000000000002</v>
      </c>
      <c r="AI54" s="63">
        <f t="shared" si="4"/>
        <v>339.40000000000003</v>
      </c>
      <c r="AJ54" s="66">
        <f t="shared" si="5"/>
        <v>231.2</v>
      </c>
    </row>
    <row r="55" spans="1:36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 t="shared" si="0"/>
        <v>1533.6999999999998</v>
      </c>
      <c r="AF55">
        <f t="shared" si="1"/>
        <v>352.7</v>
      </c>
      <c r="AG55">
        <f t="shared" si="2"/>
        <v>338.2</v>
      </c>
      <c r="AH55">
        <f t="shared" si="3"/>
        <v>220.6</v>
      </c>
      <c r="AI55" s="63">
        <f t="shared" si="4"/>
        <v>341.70000000000005</v>
      </c>
      <c r="AJ55" s="66">
        <f t="shared" si="5"/>
        <v>230.1</v>
      </c>
    </row>
    <row r="56" spans="1:36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114.8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 t="shared" si="0"/>
        <v>1563.2</v>
      </c>
      <c r="AF56">
        <f t="shared" si="1"/>
        <v>359.3</v>
      </c>
      <c r="AG56">
        <f t="shared" si="2"/>
        <v>340.5</v>
      </c>
      <c r="AH56">
        <f t="shared" si="3"/>
        <v>222.2</v>
      </c>
      <c r="AI56" s="63">
        <f t="shared" si="4"/>
        <v>345.5</v>
      </c>
      <c r="AJ56" s="66">
        <f t="shared" si="5"/>
        <v>231.1</v>
      </c>
    </row>
    <row r="57" spans="1:36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 t="shared" si="0"/>
        <v>1599.5</v>
      </c>
      <c r="AF57">
        <f t="shared" si="1"/>
        <v>349</v>
      </c>
      <c r="AG57">
        <f t="shared" si="2"/>
        <v>343.20000000000005</v>
      </c>
      <c r="AH57">
        <f t="shared" si="3"/>
        <v>221.2</v>
      </c>
      <c r="AI57" s="63">
        <f t="shared" si="4"/>
        <v>341.29999999999995</v>
      </c>
      <c r="AJ57" s="66">
        <f t="shared" si="5"/>
        <v>234.5</v>
      </c>
    </row>
    <row r="58" spans="1:36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 t="shared" si="0"/>
        <v>1576.3000000000004</v>
      </c>
      <c r="AF58">
        <f t="shared" si="1"/>
        <v>355</v>
      </c>
      <c r="AG58">
        <f t="shared" si="2"/>
        <v>342</v>
      </c>
      <c r="AH58">
        <f t="shared" si="3"/>
        <v>221.9</v>
      </c>
      <c r="AI58" s="63">
        <f t="shared" si="4"/>
        <v>343.9</v>
      </c>
      <c r="AJ58" s="66">
        <f t="shared" si="5"/>
        <v>232.1</v>
      </c>
    </row>
    <row r="59" spans="1:36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115.5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 t="shared" si="0"/>
        <v>1582.3</v>
      </c>
      <c r="AF59">
        <f t="shared" si="1"/>
        <v>360.4</v>
      </c>
      <c r="AG59">
        <f t="shared" si="2"/>
        <v>341.6</v>
      </c>
      <c r="AH59">
        <f t="shared" si="3"/>
        <v>223.4</v>
      </c>
      <c r="AI59" s="63">
        <f t="shared" si="4"/>
        <v>346.8</v>
      </c>
      <c r="AJ59" s="66">
        <f t="shared" si="5"/>
        <v>232.3</v>
      </c>
    </row>
    <row r="60" spans="1:36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 t="shared" si="0"/>
        <v>1617</v>
      </c>
      <c r="AF60">
        <f t="shared" si="1"/>
        <v>350.6</v>
      </c>
      <c r="AG60">
        <f t="shared" si="2"/>
        <v>344.6</v>
      </c>
      <c r="AH60">
        <f t="shared" si="3"/>
        <v>222.7</v>
      </c>
      <c r="AI60" s="63">
        <f t="shared" si="4"/>
        <v>342.6</v>
      </c>
      <c r="AJ60" s="66">
        <f t="shared" si="5"/>
        <v>236.9</v>
      </c>
    </row>
    <row r="61" spans="1:36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 t="shared" si="0"/>
        <v>1594.5</v>
      </c>
      <c r="AF61">
        <f t="shared" si="1"/>
        <v>356.4</v>
      </c>
      <c r="AG61">
        <f t="shared" si="2"/>
        <v>343.4</v>
      </c>
      <c r="AH61">
        <f t="shared" si="3"/>
        <v>223.2</v>
      </c>
      <c r="AI61" s="63">
        <f t="shared" si="4"/>
        <v>345.1</v>
      </c>
      <c r="AJ61" s="66">
        <f t="shared" si="5"/>
        <v>233.60000000000002</v>
      </c>
    </row>
    <row r="62" spans="1:36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116.1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 t="shared" si="0"/>
        <v>1583.2</v>
      </c>
      <c r="AF62">
        <f t="shared" si="1"/>
        <v>362.2</v>
      </c>
      <c r="AG62">
        <f t="shared" si="2"/>
        <v>342</v>
      </c>
      <c r="AH62">
        <f t="shared" si="3"/>
        <v>223.6</v>
      </c>
      <c r="AI62" s="63">
        <f t="shared" si="4"/>
        <v>348.59999999999997</v>
      </c>
      <c r="AJ62" s="66">
        <f t="shared" si="5"/>
        <v>233.2</v>
      </c>
    </row>
    <row r="63" spans="1:36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 t="shared" si="0"/>
        <v>1593.7000000000003</v>
      </c>
      <c r="AF63">
        <f t="shared" si="1"/>
        <v>352.1</v>
      </c>
      <c r="AG63">
        <f t="shared" si="2"/>
        <v>344.6</v>
      </c>
      <c r="AH63">
        <f t="shared" si="3"/>
        <v>222.3</v>
      </c>
      <c r="AI63" s="63">
        <f t="shared" si="4"/>
        <v>343.4</v>
      </c>
      <c r="AJ63" s="66">
        <f t="shared" si="5"/>
        <v>237.89999999999998</v>
      </c>
    </row>
    <row r="64" spans="1:36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 t="shared" si="0"/>
        <v>1586.1000000000001</v>
      </c>
      <c r="AF64">
        <f t="shared" si="1"/>
        <v>358</v>
      </c>
      <c r="AG64">
        <f t="shared" si="2"/>
        <v>343.7</v>
      </c>
      <c r="AH64">
        <f t="shared" si="3"/>
        <v>223.2</v>
      </c>
      <c r="AI64" s="63">
        <f t="shared" si="4"/>
        <v>346.5</v>
      </c>
      <c r="AJ64" s="66">
        <f t="shared" si="5"/>
        <v>234.5</v>
      </c>
    </row>
    <row r="65" spans="1:36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116.7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 t="shared" si="0"/>
        <v>1581.1999999999998</v>
      </c>
      <c r="AF65">
        <f t="shared" si="1"/>
        <v>365.3</v>
      </c>
      <c r="AG65">
        <f t="shared" si="2"/>
        <v>342.5</v>
      </c>
      <c r="AH65">
        <f t="shared" si="3"/>
        <v>224.6</v>
      </c>
      <c r="AI65" s="63">
        <f t="shared" si="4"/>
        <v>350.6</v>
      </c>
      <c r="AJ65" s="66">
        <f t="shared" si="5"/>
        <v>234</v>
      </c>
    </row>
    <row r="66" spans="1:36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 t="shared" si="0"/>
        <v>1587.4999999999998</v>
      </c>
      <c r="AF66">
        <f t="shared" si="1"/>
        <v>353.4</v>
      </c>
      <c r="AG66">
        <f t="shared" si="2"/>
        <v>344.79999999999995</v>
      </c>
      <c r="AH66">
        <f t="shared" si="3"/>
        <v>222.7</v>
      </c>
      <c r="AI66" s="63">
        <f t="shared" si="4"/>
        <v>344.5</v>
      </c>
      <c r="AJ66" s="66">
        <f t="shared" si="5"/>
        <v>238</v>
      </c>
    </row>
    <row r="67" spans="1:36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 t="shared" ref="AE67:AE130" si="6">P67+O67+N67+M67+L67+K67+J67+I67+H67+G67+F67+E67+D67</f>
        <v>1582.7</v>
      </c>
      <c r="AF67">
        <f t="shared" ref="AF67:AF130" si="7">SUM(R67:T67)</f>
        <v>360.6</v>
      </c>
      <c r="AG67">
        <f t="shared" ref="AG67:AG130" si="8">SUM(Y67,AA67,Z67)</f>
        <v>343.9</v>
      </c>
      <c r="AH67">
        <f t="shared" ref="AH67:AH130" si="9">SUM(X67,AB67)</f>
        <v>223.89999999999998</v>
      </c>
      <c r="AI67" s="63">
        <f t="shared" ref="AI67:AI130" si="10">SUM(U67,V67,W67)</f>
        <v>348.1</v>
      </c>
      <c r="AJ67" s="66">
        <f t="shared" ref="AJ67:AJ130" si="11">SUM(AC67,Q67)</f>
        <v>235</v>
      </c>
    </row>
    <row r="68" spans="1:36">
      <c r="A68" t="s">
        <v>30</v>
      </c>
      <c r="B68">
        <v>2014</v>
      </c>
      <c r="C68" t="s">
        <v>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117.1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 t="shared" si="6"/>
        <v>1582</v>
      </c>
      <c r="AF68">
        <f t="shared" si="7"/>
        <v>366.70000000000005</v>
      </c>
      <c r="AG68">
        <f t="shared" si="8"/>
        <v>342.5</v>
      </c>
      <c r="AH68">
        <f t="shared" si="9"/>
        <v>224.7</v>
      </c>
      <c r="AI68" s="63">
        <f t="shared" si="10"/>
        <v>352.5</v>
      </c>
      <c r="AJ68" s="66">
        <f t="shared" si="11"/>
        <v>234.89999999999998</v>
      </c>
    </row>
    <row r="69" spans="1:36">
      <c r="A69" t="s">
        <v>33</v>
      </c>
      <c r="B69">
        <v>2014</v>
      </c>
      <c r="C69" t="s">
        <v>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 t="shared" si="6"/>
        <v>1587.8</v>
      </c>
      <c r="AF69">
        <f t="shared" si="7"/>
        <v>355.2</v>
      </c>
      <c r="AG69">
        <f t="shared" si="8"/>
        <v>344</v>
      </c>
      <c r="AH69">
        <f t="shared" si="9"/>
        <v>222.6</v>
      </c>
      <c r="AI69" s="63">
        <f t="shared" si="10"/>
        <v>346.1</v>
      </c>
      <c r="AJ69" s="66">
        <f t="shared" si="11"/>
        <v>239.2</v>
      </c>
    </row>
    <row r="70" spans="1:36">
      <c r="A70" t="s">
        <v>34</v>
      </c>
      <c r="B70">
        <v>2014</v>
      </c>
      <c r="C70" t="s">
        <v>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 t="shared" si="6"/>
        <v>1583.2</v>
      </c>
      <c r="AF70">
        <f t="shared" si="7"/>
        <v>362.1</v>
      </c>
      <c r="AG70">
        <f t="shared" si="8"/>
        <v>343.5</v>
      </c>
      <c r="AH70">
        <f t="shared" si="9"/>
        <v>223.89999999999998</v>
      </c>
      <c r="AI70" s="63">
        <f t="shared" si="10"/>
        <v>349.9</v>
      </c>
      <c r="AJ70" s="66">
        <f t="shared" si="11"/>
        <v>235.89999999999998</v>
      </c>
    </row>
    <row r="71" spans="1:36">
      <c r="A71" t="s">
        <v>30</v>
      </c>
      <c r="B71">
        <v>2014</v>
      </c>
      <c r="C71" t="s">
        <v>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116.5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 t="shared" si="6"/>
        <v>1569.6000000000001</v>
      </c>
      <c r="AF71">
        <f t="shared" si="7"/>
        <v>367.7</v>
      </c>
      <c r="AG71">
        <f t="shared" si="8"/>
        <v>342.5</v>
      </c>
      <c r="AH71">
        <f t="shared" si="9"/>
        <v>225.60000000000002</v>
      </c>
      <c r="AI71" s="63">
        <f t="shared" si="10"/>
        <v>352.1</v>
      </c>
      <c r="AJ71" s="66">
        <f t="shared" si="11"/>
        <v>235.9</v>
      </c>
    </row>
    <row r="72" spans="1:36">
      <c r="A72" t="s">
        <v>33</v>
      </c>
      <c r="B72">
        <v>2014</v>
      </c>
      <c r="C72" t="s">
        <v>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 t="shared" si="6"/>
        <v>1577.2</v>
      </c>
      <c r="AF72">
        <f t="shared" si="7"/>
        <v>356.5</v>
      </c>
      <c r="AG72">
        <f t="shared" si="8"/>
        <v>343.8</v>
      </c>
      <c r="AH72">
        <f t="shared" si="9"/>
        <v>223.60000000000002</v>
      </c>
      <c r="AI72" s="63">
        <f t="shared" si="10"/>
        <v>346.3</v>
      </c>
      <c r="AJ72" s="66">
        <f t="shared" si="11"/>
        <v>239.8</v>
      </c>
    </row>
    <row r="73" spans="1:36">
      <c r="A73" t="s">
        <v>34</v>
      </c>
      <c r="B73">
        <v>2014</v>
      </c>
      <c r="C73" t="s">
        <v>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 t="shared" si="6"/>
        <v>1571.7000000000003</v>
      </c>
      <c r="AF73">
        <f t="shared" si="7"/>
        <v>363.2</v>
      </c>
      <c r="AG73">
        <f t="shared" si="8"/>
        <v>343.5</v>
      </c>
      <c r="AH73">
        <f t="shared" si="9"/>
        <v>224.89999999999998</v>
      </c>
      <c r="AI73" s="63">
        <f t="shared" si="10"/>
        <v>349.7</v>
      </c>
      <c r="AJ73" s="66">
        <f t="shared" si="11"/>
        <v>236.8</v>
      </c>
    </row>
    <row r="74" spans="1:36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117.3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 t="shared" si="6"/>
        <v>1568.1</v>
      </c>
      <c r="AF74">
        <f t="shared" si="7"/>
        <v>370</v>
      </c>
      <c r="AG74">
        <f t="shared" si="8"/>
        <v>343.2</v>
      </c>
      <c r="AH74">
        <f t="shared" si="9"/>
        <v>226.8</v>
      </c>
      <c r="AI74" s="63">
        <f t="shared" si="10"/>
        <v>354.6</v>
      </c>
      <c r="AJ74" s="66">
        <f t="shared" si="11"/>
        <v>237.2</v>
      </c>
    </row>
    <row r="75" spans="1:36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 t="shared" si="6"/>
        <v>1574.8999999999999</v>
      </c>
      <c r="AF75">
        <f t="shared" si="7"/>
        <v>357.3</v>
      </c>
      <c r="AG75">
        <f t="shared" si="8"/>
        <v>343.29999999999995</v>
      </c>
      <c r="AH75">
        <f t="shared" si="9"/>
        <v>225.10000000000002</v>
      </c>
      <c r="AI75" s="63">
        <f t="shared" si="10"/>
        <v>347.9</v>
      </c>
      <c r="AJ75" s="66">
        <f t="shared" si="11"/>
        <v>240.8</v>
      </c>
    </row>
    <row r="76" spans="1:36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 t="shared" si="6"/>
        <v>1569.3000000000004</v>
      </c>
      <c r="AF76">
        <f t="shared" si="7"/>
        <v>364.9</v>
      </c>
      <c r="AG76">
        <f t="shared" si="8"/>
        <v>343.40000000000003</v>
      </c>
      <c r="AH76">
        <f t="shared" si="9"/>
        <v>226.2</v>
      </c>
      <c r="AI76" s="63">
        <f t="shared" si="10"/>
        <v>351.9</v>
      </c>
      <c r="AJ76" s="66">
        <f t="shared" si="11"/>
        <v>238</v>
      </c>
    </row>
    <row r="77" spans="1:36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118.1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 t="shared" si="6"/>
        <v>1570.6000000000001</v>
      </c>
      <c r="AF77">
        <f t="shared" si="7"/>
        <v>373.1</v>
      </c>
      <c r="AG77">
        <f t="shared" si="8"/>
        <v>344.40000000000003</v>
      </c>
      <c r="AH77">
        <f t="shared" si="9"/>
        <v>228.5</v>
      </c>
      <c r="AI77" s="63">
        <f t="shared" si="10"/>
        <v>357.7</v>
      </c>
      <c r="AJ77" s="66">
        <f t="shared" si="11"/>
        <v>239.2</v>
      </c>
    </row>
    <row r="78" spans="1:36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 t="shared" si="6"/>
        <v>1571.1</v>
      </c>
      <c r="AF78">
        <f t="shared" si="7"/>
        <v>358.4</v>
      </c>
      <c r="AG78">
        <f t="shared" si="8"/>
        <v>342.1</v>
      </c>
      <c r="AH78">
        <f t="shared" si="9"/>
        <v>225.8</v>
      </c>
      <c r="AI78" s="63">
        <f t="shared" si="10"/>
        <v>349.8</v>
      </c>
      <c r="AJ78" s="66">
        <f t="shared" si="11"/>
        <v>241.3</v>
      </c>
    </row>
    <row r="79" spans="1:36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 t="shared" si="6"/>
        <v>1569.3999999999996</v>
      </c>
      <c r="AF79">
        <f t="shared" si="7"/>
        <v>367.2</v>
      </c>
      <c r="AG79">
        <f t="shared" si="8"/>
        <v>343.3</v>
      </c>
      <c r="AH79">
        <f t="shared" si="9"/>
        <v>227.5</v>
      </c>
      <c r="AI79" s="63">
        <f t="shared" si="10"/>
        <v>354.5</v>
      </c>
      <c r="AJ79" s="66">
        <f t="shared" si="11"/>
        <v>239.3</v>
      </c>
    </row>
    <row r="80" spans="1:36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118.6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 t="shared" si="6"/>
        <v>1571.5</v>
      </c>
      <c r="AF80">
        <f t="shared" si="7"/>
        <v>374.4</v>
      </c>
      <c r="AG80">
        <f t="shared" si="8"/>
        <v>346.5</v>
      </c>
      <c r="AH80">
        <f t="shared" si="9"/>
        <v>229</v>
      </c>
      <c r="AI80" s="63">
        <f t="shared" si="10"/>
        <v>359.4</v>
      </c>
      <c r="AJ80" s="66">
        <f t="shared" si="11"/>
        <v>240.2</v>
      </c>
    </row>
    <row r="81" spans="1:36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 t="shared" si="6"/>
        <v>1568.0000000000002</v>
      </c>
      <c r="AF81">
        <f t="shared" si="7"/>
        <v>359.5</v>
      </c>
      <c r="AG81">
        <f t="shared" si="8"/>
        <v>344.4</v>
      </c>
      <c r="AH81">
        <f t="shared" si="9"/>
        <v>225.6</v>
      </c>
      <c r="AI81" s="63">
        <f t="shared" si="10"/>
        <v>351</v>
      </c>
      <c r="AJ81" s="66">
        <f t="shared" si="11"/>
        <v>242.60000000000002</v>
      </c>
    </row>
    <row r="82" spans="1:36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 t="shared" si="6"/>
        <v>1569.1</v>
      </c>
      <c r="AF82">
        <f t="shared" si="7"/>
        <v>368.4</v>
      </c>
      <c r="AG82">
        <f t="shared" si="8"/>
        <v>345.4</v>
      </c>
      <c r="AH82">
        <f t="shared" si="9"/>
        <v>227.7</v>
      </c>
      <c r="AI82" s="63">
        <f t="shared" si="10"/>
        <v>356.09999999999997</v>
      </c>
      <c r="AJ82" s="66">
        <f t="shared" si="11"/>
        <v>240.5</v>
      </c>
    </row>
    <row r="83" spans="1:36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119.2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 t="shared" si="6"/>
        <v>1577.2</v>
      </c>
      <c r="AF83">
        <f t="shared" si="7"/>
        <v>375.7</v>
      </c>
      <c r="AG83">
        <f t="shared" si="8"/>
        <v>348</v>
      </c>
      <c r="AH83">
        <f t="shared" si="9"/>
        <v>230.2</v>
      </c>
      <c r="AI83" s="63">
        <f t="shared" si="10"/>
        <v>361.3</v>
      </c>
      <c r="AJ83" s="66">
        <f t="shared" si="11"/>
        <v>241.7</v>
      </c>
    </row>
    <row r="84" spans="1:36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 t="shared" si="6"/>
        <v>1576.1000000000001</v>
      </c>
      <c r="AF84">
        <f t="shared" si="7"/>
        <v>360.6</v>
      </c>
      <c r="AG84">
        <f t="shared" si="8"/>
        <v>345.70000000000005</v>
      </c>
      <c r="AH84">
        <f t="shared" si="9"/>
        <v>226.39999999999998</v>
      </c>
      <c r="AI84" s="63">
        <f t="shared" si="10"/>
        <v>352.3</v>
      </c>
      <c r="AJ84" s="66">
        <f t="shared" si="11"/>
        <v>244.3</v>
      </c>
    </row>
    <row r="85" spans="1:36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 t="shared" si="6"/>
        <v>1575.7</v>
      </c>
      <c r="AF85">
        <f t="shared" si="7"/>
        <v>369.6</v>
      </c>
      <c r="AG85">
        <f t="shared" si="8"/>
        <v>347</v>
      </c>
      <c r="AH85">
        <f t="shared" si="9"/>
        <v>228.8</v>
      </c>
      <c r="AI85" s="63">
        <f t="shared" si="10"/>
        <v>357.6</v>
      </c>
      <c r="AJ85" s="66">
        <f t="shared" si="11"/>
        <v>242</v>
      </c>
    </row>
    <row r="86" spans="1:36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119.6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 t="shared" si="6"/>
        <v>1587.6999999999998</v>
      </c>
      <c r="AF86">
        <f t="shared" si="7"/>
        <v>378.2</v>
      </c>
      <c r="AG86">
        <f t="shared" si="8"/>
        <v>350.5</v>
      </c>
      <c r="AH86">
        <f t="shared" si="9"/>
        <v>231.7</v>
      </c>
      <c r="AI86" s="63">
        <f t="shared" si="10"/>
        <v>363</v>
      </c>
      <c r="AJ86" s="66">
        <f t="shared" si="11"/>
        <v>243.60000000000002</v>
      </c>
    </row>
    <row r="87" spans="1:36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 t="shared" si="6"/>
        <v>1598.8999999999999</v>
      </c>
      <c r="AF87">
        <f t="shared" si="7"/>
        <v>361.4</v>
      </c>
      <c r="AG87">
        <f t="shared" si="8"/>
        <v>348.8</v>
      </c>
      <c r="AH87">
        <f t="shared" si="9"/>
        <v>227.3</v>
      </c>
      <c r="AI87" s="63">
        <f t="shared" si="10"/>
        <v>353.2</v>
      </c>
      <c r="AJ87" s="66">
        <f t="shared" si="11"/>
        <v>246.5</v>
      </c>
    </row>
    <row r="88" spans="1:36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 t="shared" si="6"/>
        <v>1590.3999999999999</v>
      </c>
      <c r="AF88">
        <f t="shared" si="7"/>
        <v>371.4</v>
      </c>
      <c r="AG88">
        <f t="shared" si="8"/>
        <v>349.7</v>
      </c>
      <c r="AH88">
        <f t="shared" si="9"/>
        <v>230</v>
      </c>
      <c r="AI88" s="63">
        <f t="shared" si="10"/>
        <v>359</v>
      </c>
      <c r="AJ88" s="66">
        <f t="shared" si="11"/>
        <v>244</v>
      </c>
    </row>
    <row r="89" spans="1:36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119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 t="shared" si="6"/>
        <v>1617.8999999999999</v>
      </c>
      <c r="AF89">
        <f t="shared" si="7"/>
        <v>381.5</v>
      </c>
      <c r="AG89">
        <f t="shared" si="8"/>
        <v>354.1</v>
      </c>
      <c r="AH89">
        <f t="shared" si="9"/>
        <v>233.4</v>
      </c>
      <c r="AI89" s="63">
        <f t="shared" si="10"/>
        <v>364.4</v>
      </c>
      <c r="AJ89" s="66">
        <f t="shared" si="11"/>
        <v>246.1</v>
      </c>
    </row>
    <row r="90" spans="1:36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 t="shared" si="6"/>
        <v>1636.6</v>
      </c>
      <c r="AF90">
        <f t="shared" si="7"/>
        <v>363.1</v>
      </c>
      <c r="AG90">
        <f t="shared" si="8"/>
        <v>351.7</v>
      </c>
      <c r="AH90">
        <f t="shared" si="9"/>
        <v>227.9</v>
      </c>
      <c r="AI90" s="63">
        <f t="shared" si="10"/>
        <v>353.3</v>
      </c>
      <c r="AJ90" s="66">
        <f t="shared" si="11"/>
        <v>248.1</v>
      </c>
    </row>
    <row r="91" spans="1:36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 t="shared" si="6"/>
        <v>1623.5</v>
      </c>
      <c r="AF91">
        <f t="shared" si="7"/>
        <v>374.1</v>
      </c>
      <c r="AG91">
        <f t="shared" si="8"/>
        <v>352.9</v>
      </c>
      <c r="AH91">
        <f t="shared" si="9"/>
        <v>231.3</v>
      </c>
      <c r="AI91" s="63">
        <f t="shared" si="10"/>
        <v>359.9</v>
      </c>
      <c r="AJ91" s="66">
        <f t="shared" si="11"/>
        <v>246.2</v>
      </c>
    </row>
    <row r="92" spans="1:36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119.9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 t="shared" si="6"/>
        <v>1625.3</v>
      </c>
      <c r="AF92">
        <f t="shared" si="7"/>
        <v>382.6</v>
      </c>
      <c r="AG92">
        <f t="shared" si="8"/>
        <v>355</v>
      </c>
      <c r="AH92">
        <f t="shared" si="9"/>
        <v>233.5</v>
      </c>
      <c r="AI92" s="63">
        <f t="shared" si="10"/>
        <v>365.9</v>
      </c>
      <c r="AJ92" s="66">
        <f t="shared" si="11"/>
        <v>247.5</v>
      </c>
    </row>
    <row r="93" spans="1:36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 t="shared" si="6"/>
        <v>1642.9</v>
      </c>
      <c r="AF93">
        <f t="shared" si="7"/>
        <v>364.1</v>
      </c>
      <c r="AG93">
        <f t="shared" si="8"/>
        <v>353.5</v>
      </c>
      <c r="AH93">
        <f t="shared" si="9"/>
        <v>227.7</v>
      </c>
      <c r="AI93" s="63">
        <f t="shared" si="10"/>
        <v>354.7</v>
      </c>
      <c r="AJ93" s="66">
        <f t="shared" si="11"/>
        <v>249.39999999999998</v>
      </c>
    </row>
    <row r="94" spans="1:36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 t="shared" si="6"/>
        <v>1630.6000000000001</v>
      </c>
      <c r="AF94">
        <f t="shared" si="7"/>
        <v>375.1</v>
      </c>
      <c r="AG94">
        <f t="shared" si="8"/>
        <v>354.3</v>
      </c>
      <c r="AH94">
        <f t="shared" si="9"/>
        <v>231.3</v>
      </c>
      <c r="AI94" s="63">
        <f t="shared" si="10"/>
        <v>361.3</v>
      </c>
      <c r="AJ94" s="66">
        <f t="shared" si="11"/>
        <v>247.60000000000002</v>
      </c>
    </row>
    <row r="95" spans="1:36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120.9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 t="shared" si="6"/>
        <v>1646.6</v>
      </c>
      <c r="AF95">
        <f t="shared" si="7"/>
        <v>384.8</v>
      </c>
      <c r="AG95">
        <f t="shared" si="8"/>
        <v>355.7</v>
      </c>
      <c r="AH95">
        <f t="shared" si="9"/>
        <v>233.6</v>
      </c>
      <c r="AI95" s="63">
        <f t="shared" si="10"/>
        <v>368.4</v>
      </c>
      <c r="AJ95" s="66">
        <f t="shared" si="11"/>
        <v>248.3</v>
      </c>
    </row>
    <row r="96" spans="1:36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 t="shared" si="6"/>
        <v>1658.8999999999996</v>
      </c>
      <c r="AF96">
        <f t="shared" si="7"/>
        <v>364.8</v>
      </c>
      <c r="AG96">
        <f t="shared" si="8"/>
        <v>353.3</v>
      </c>
      <c r="AH96">
        <f t="shared" si="9"/>
        <v>228.6</v>
      </c>
      <c r="AI96" s="63">
        <f t="shared" si="10"/>
        <v>356.2</v>
      </c>
      <c r="AJ96" s="66">
        <f t="shared" si="11"/>
        <v>250.39999999999998</v>
      </c>
    </row>
    <row r="97" spans="1:36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 t="shared" si="6"/>
        <v>1649.6000000000001</v>
      </c>
      <c r="AF97">
        <f t="shared" si="7"/>
        <v>376.70000000000005</v>
      </c>
      <c r="AG97">
        <f t="shared" si="8"/>
        <v>354.6</v>
      </c>
      <c r="AH97">
        <f t="shared" si="9"/>
        <v>231.7</v>
      </c>
      <c r="AI97" s="63">
        <f t="shared" si="10"/>
        <v>363.5</v>
      </c>
      <c r="AJ97" s="66">
        <f t="shared" si="11"/>
        <v>248.39999999999998</v>
      </c>
    </row>
    <row r="98" spans="1:36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121.6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 t="shared" si="6"/>
        <v>1657.6</v>
      </c>
      <c r="AF98">
        <f t="shared" si="7"/>
        <v>387.1</v>
      </c>
      <c r="AG98">
        <f t="shared" si="8"/>
        <v>357.9</v>
      </c>
      <c r="AH98">
        <f t="shared" si="9"/>
        <v>235.10000000000002</v>
      </c>
      <c r="AI98" s="63">
        <f t="shared" si="10"/>
        <v>369.8</v>
      </c>
      <c r="AJ98" s="66">
        <f t="shared" si="11"/>
        <v>249.8</v>
      </c>
    </row>
    <row r="99" spans="1:36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 t="shared" si="6"/>
        <v>1664.8</v>
      </c>
      <c r="AF99">
        <f t="shared" si="7"/>
        <v>365.8</v>
      </c>
      <c r="AG99">
        <f t="shared" si="8"/>
        <v>352.9</v>
      </c>
      <c r="AH99">
        <f t="shared" si="9"/>
        <v>230</v>
      </c>
      <c r="AI99" s="63">
        <f t="shared" si="10"/>
        <v>357.1</v>
      </c>
      <c r="AJ99" s="66">
        <f t="shared" si="11"/>
        <v>250.89999999999998</v>
      </c>
    </row>
    <row r="100" spans="1:36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 t="shared" si="6"/>
        <v>1658.3000000000002</v>
      </c>
      <c r="AF100">
        <f t="shared" si="7"/>
        <v>378.5</v>
      </c>
      <c r="AG100">
        <f t="shared" si="8"/>
        <v>355.3</v>
      </c>
      <c r="AH100">
        <f t="shared" si="9"/>
        <v>233.2</v>
      </c>
      <c r="AI100" s="63">
        <f t="shared" si="10"/>
        <v>364.6</v>
      </c>
      <c r="AJ100" s="66">
        <f t="shared" si="11"/>
        <v>249.5</v>
      </c>
    </row>
    <row r="101" spans="1:36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122.4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 t="shared" si="6"/>
        <v>1674.6000000000001</v>
      </c>
      <c r="AF101">
        <f t="shared" si="7"/>
        <v>389</v>
      </c>
      <c r="AG101">
        <f t="shared" si="8"/>
        <v>359</v>
      </c>
      <c r="AH101">
        <f t="shared" si="9"/>
        <v>236.2</v>
      </c>
      <c r="AI101" s="63">
        <f t="shared" si="10"/>
        <v>371.9</v>
      </c>
      <c r="AJ101" s="66">
        <f t="shared" si="11"/>
        <v>250.7</v>
      </c>
    </row>
    <row r="102" spans="1:36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 t="shared" si="6"/>
        <v>1692.7999999999997</v>
      </c>
      <c r="AF102">
        <f t="shared" si="7"/>
        <v>366.79999999999995</v>
      </c>
      <c r="AG102">
        <f t="shared" si="8"/>
        <v>353.5</v>
      </c>
      <c r="AH102">
        <f t="shared" si="9"/>
        <v>231.2</v>
      </c>
      <c r="AI102" s="63">
        <f t="shared" si="10"/>
        <v>358</v>
      </c>
      <c r="AJ102" s="66">
        <f t="shared" si="11"/>
        <v>251.8</v>
      </c>
    </row>
    <row r="103" spans="1:36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 t="shared" si="6"/>
        <v>1679</v>
      </c>
      <c r="AF103">
        <f t="shared" si="7"/>
        <v>380.1</v>
      </c>
      <c r="AG103">
        <f t="shared" si="8"/>
        <v>356</v>
      </c>
      <c r="AH103">
        <f t="shared" si="9"/>
        <v>234.3</v>
      </c>
      <c r="AI103" s="63">
        <f t="shared" si="10"/>
        <v>366.2</v>
      </c>
      <c r="AJ103" s="66">
        <f t="shared" si="11"/>
        <v>250.4</v>
      </c>
    </row>
    <row r="104" spans="1:36">
      <c r="A104" t="s">
        <v>30</v>
      </c>
      <c r="B104">
        <v>2015</v>
      </c>
      <c r="C104" t="s">
        <v>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122.9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 t="shared" si="6"/>
        <v>1686.2999999999997</v>
      </c>
      <c r="AF104">
        <f t="shared" si="7"/>
        <v>391.79999999999995</v>
      </c>
      <c r="AG104">
        <f t="shared" si="8"/>
        <v>360.70000000000005</v>
      </c>
      <c r="AH104">
        <f t="shared" si="9"/>
        <v>236.8</v>
      </c>
      <c r="AI104" s="63">
        <f t="shared" si="10"/>
        <v>374.1</v>
      </c>
      <c r="AJ104" s="66">
        <f t="shared" si="11"/>
        <v>251.79999999999998</v>
      </c>
    </row>
    <row r="105" spans="1:36">
      <c r="A105" t="s">
        <v>33</v>
      </c>
      <c r="B105">
        <v>2015</v>
      </c>
      <c r="C105" t="s">
        <v>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 t="shared" si="6"/>
        <v>1708.4999999999998</v>
      </c>
      <c r="AF105">
        <f t="shared" si="7"/>
        <v>368.5</v>
      </c>
      <c r="AG105">
        <f t="shared" si="8"/>
        <v>353.79999999999995</v>
      </c>
      <c r="AH105">
        <f t="shared" si="9"/>
        <v>231.39999999999998</v>
      </c>
      <c r="AI105" s="63">
        <f t="shared" si="10"/>
        <v>359</v>
      </c>
      <c r="AJ105" s="66">
        <f t="shared" si="11"/>
        <v>254.2</v>
      </c>
    </row>
    <row r="106" spans="1:36">
      <c r="A106" t="s">
        <v>34</v>
      </c>
      <c r="B106">
        <v>2015</v>
      </c>
      <c r="C106" t="s">
        <v>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 t="shared" si="6"/>
        <v>1692.1</v>
      </c>
      <c r="AF106">
        <f t="shared" si="7"/>
        <v>382.4</v>
      </c>
      <c r="AG106">
        <f t="shared" si="8"/>
        <v>357</v>
      </c>
      <c r="AH106">
        <f t="shared" si="9"/>
        <v>234.7</v>
      </c>
      <c r="AI106" s="63">
        <f t="shared" si="10"/>
        <v>367.9</v>
      </c>
      <c r="AJ106" s="66">
        <f t="shared" si="11"/>
        <v>251.7</v>
      </c>
    </row>
    <row r="107" spans="1:36">
      <c r="A107" t="s">
        <v>30</v>
      </c>
      <c r="B107">
        <v>2015</v>
      </c>
      <c r="C107" t="s">
        <v>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122.4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 t="shared" si="6"/>
        <v>1682.2999999999997</v>
      </c>
      <c r="AF107">
        <f t="shared" si="7"/>
        <v>392.9</v>
      </c>
      <c r="AG107">
        <f t="shared" si="8"/>
        <v>361.2</v>
      </c>
      <c r="AH107">
        <f t="shared" si="9"/>
        <v>237.2</v>
      </c>
      <c r="AI107" s="63">
        <f t="shared" si="10"/>
        <v>374.1</v>
      </c>
      <c r="AJ107" s="66">
        <f t="shared" si="11"/>
        <v>252.89999999999998</v>
      </c>
    </row>
    <row r="108" spans="1:36">
      <c r="A108" t="s">
        <v>33</v>
      </c>
      <c r="B108">
        <v>2015</v>
      </c>
      <c r="C108" t="s">
        <v>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 t="shared" si="6"/>
        <v>1698.8</v>
      </c>
      <c r="AF108">
        <f t="shared" si="7"/>
        <v>369.4</v>
      </c>
      <c r="AG108">
        <f t="shared" si="8"/>
        <v>354</v>
      </c>
      <c r="AH108">
        <f t="shared" si="9"/>
        <v>231.8</v>
      </c>
      <c r="AI108" s="63">
        <f t="shared" si="10"/>
        <v>359.4</v>
      </c>
      <c r="AJ108" s="66">
        <f t="shared" si="11"/>
        <v>254.89999999999998</v>
      </c>
    </row>
    <row r="109" spans="1:36">
      <c r="A109" t="s">
        <v>34</v>
      </c>
      <c r="B109">
        <v>2015</v>
      </c>
      <c r="C109" t="s">
        <v>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 t="shared" si="6"/>
        <v>1686.1000000000001</v>
      </c>
      <c r="AF109">
        <f t="shared" si="7"/>
        <v>383.5</v>
      </c>
      <c r="AG109">
        <f t="shared" si="8"/>
        <v>357.29999999999995</v>
      </c>
      <c r="AH109">
        <f t="shared" si="9"/>
        <v>235.10000000000002</v>
      </c>
      <c r="AI109" s="63">
        <f t="shared" si="10"/>
        <v>368</v>
      </c>
      <c r="AJ109" s="66">
        <f t="shared" si="11"/>
        <v>252.8</v>
      </c>
    </row>
    <row r="110" spans="1:36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123.4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 t="shared" si="6"/>
        <v>1690.1000000000001</v>
      </c>
      <c r="AF110">
        <f t="shared" si="7"/>
        <v>394.70000000000005</v>
      </c>
      <c r="AG110">
        <f t="shared" si="8"/>
        <v>361.20000000000005</v>
      </c>
      <c r="AH110">
        <f t="shared" si="9"/>
        <v>238.60000000000002</v>
      </c>
      <c r="AI110" s="63">
        <f t="shared" si="10"/>
        <v>376.20000000000005</v>
      </c>
      <c r="AJ110" s="66">
        <f t="shared" si="11"/>
        <v>253.7</v>
      </c>
    </row>
    <row r="111" spans="1:36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 t="shared" si="6"/>
        <v>1701.4000000000003</v>
      </c>
      <c r="AF111">
        <f t="shared" si="7"/>
        <v>370.5</v>
      </c>
      <c r="AG111">
        <f t="shared" si="8"/>
        <v>353.8</v>
      </c>
      <c r="AH111">
        <f t="shared" si="9"/>
        <v>233.1</v>
      </c>
      <c r="AI111" s="63">
        <f t="shared" si="10"/>
        <v>361.9</v>
      </c>
      <c r="AJ111" s="66">
        <f t="shared" si="11"/>
        <v>256.3</v>
      </c>
    </row>
    <row r="112" spans="1:36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 t="shared" si="6"/>
        <v>1691.6999999999998</v>
      </c>
      <c r="AF112">
        <f t="shared" si="7"/>
        <v>384.9</v>
      </c>
      <c r="AG112">
        <f t="shared" si="8"/>
        <v>357.2</v>
      </c>
      <c r="AH112">
        <f t="shared" si="9"/>
        <v>236.5</v>
      </c>
      <c r="AI112" s="63">
        <f t="shared" si="10"/>
        <v>370.3</v>
      </c>
      <c r="AJ112" s="66">
        <f t="shared" si="11"/>
        <v>253.7</v>
      </c>
    </row>
    <row r="113" spans="1:36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124.4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 t="shared" si="6"/>
        <v>1682.6000000000001</v>
      </c>
      <c r="AF113">
        <f t="shared" si="7"/>
        <v>397.1</v>
      </c>
      <c r="AG113">
        <f t="shared" si="8"/>
        <v>363.3</v>
      </c>
      <c r="AH113">
        <f t="shared" si="9"/>
        <v>241.1</v>
      </c>
      <c r="AI113" s="63">
        <f t="shared" si="10"/>
        <v>379</v>
      </c>
      <c r="AJ113" s="66">
        <f t="shared" si="11"/>
        <v>255.3</v>
      </c>
    </row>
    <row r="114" spans="1:36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 t="shared" si="6"/>
        <v>1676.0999999999997</v>
      </c>
      <c r="AF114">
        <f t="shared" si="7"/>
        <v>371.6</v>
      </c>
      <c r="AG114">
        <f t="shared" si="8"/>
        <v>354.2</v>
      </c>
      <c r="AH114">
        <f t="shared" si="9"/>
        <v>235.7</v>
      </c>
      <c r="AI114" s="63">
        <f t="shared" si="10"/>
        <v>362.2</v>
      </c>
      <c r="AJ114" s="66">
        <f t="shared" si="11"/>
        <v>257.2</v>
      </c>
    </row>
    <row r="115" spans="1:36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 t="shared" si="6"/>
        <v>1678.1000000000001</v>
      </c>
      <c r="AF115">
        <f t="shared" si="7"/>
        <v>386.9</v>
      </c>
      <c r="AG115">
        <f t="shared" si="8"/>
        <v>358.3</v>
      </c>
      <c r="AH115">
        <f t="shared" si="9"/>
        <v>239.1</v>
      </c>
      <c r="AI115" s="63">
        <f t="shared" si="10"/>
        <v>372.1</v>
      </c>
      <c r="AJ115" s="66">
        <f t="shared" si="11"/>
        <v>255</v>
      </c>
    </row>
    <row r="116" spans="1:36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124.9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 t="shared" si="6"/>
        <v>1682.6999999999998</v>
      </c>
      <c r="AF116">
        <f t="shared" si="7"/>
        <v>398.40000000000003</v>
      </c>
      <c r="AG116">
        <f t="shared" si="8"/>
        <v>363.6</v>
      </c>
      <c r="AH116">
        <f t="shared" si="9"/>
        <v>242.2</v>
      </c>
      <c r="AI116" s="63">
        <f t="shared" si="10"/>
        <v>379.6</v>
      </c>
      <c r="AJ116" s="66">
        <f t="shared" si="11"/>
        <v>256.10000000000002</v>
      </c>
    </row>
    <row r="117" spans="1:36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 t="shared" si="6"/>
        <v>1667.6000000000001</v>
      </c>
      <c r="AF117">
        <f t="shared" si="7"/>
        <v>372.2</v>
      </c>
      <c r="AG117">
        <f t="shared" si="8"/>
        <v>354</v>
      </c>
      <c r="AH117">
        <f t="shared" si="9"/>
        <v>236.8</v>
      </c>
      <c r="AI117" s="63">
        <f t="shared" si="10"/>
        <v>362</v>
      </c>
      <c r="AJ117" s="66">
        <f t="shared" si="11"/>
        <v>257.89999999999998</v>
      </c>
    </row>
    <row r="118" spans="1:36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>
        <f t="shared" si="6"/>
        <v>1675.1999999999998</v>
      </c>
      <c r="AF118">
        <f t="shared" si="7"/>
        <v>387.9</v>
      </c>
      <c r="AG118">
        <f t="shared" si="8"/>
        <v>358.4</v>
      </c>
      <c r="AH118">
        <f t="shared" si="9"/>
        <v>240.2</v>
      </c>
      <c r="AI118" s="63">
        <f t="shared" si="10"/>
        <v>372.4</v>
      </c>
      <c r="AJ118" s="66">
        <f t="shared" si="11"/>
        <v>255.8</v>
      </c>
    </row>
    <row r="119" spans="1:36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125.6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>
        <f t="shared" si="6"/>
        <v>1701.6000000000004</v>
      </c>
      <c r="AF119">
        <f t="shared" si="7"/>
        <v>400</v>
      </c>
      <c r="AG119">
        <f t="shared" si="8"/>
        <v>365.5</v>
      </c>
      <c r="AH119">
        <f t="shared" si="9"/>
        <v>243.60000000000002</v>
      </c>
      <c r="AI119" s="63">
        <f t="shared" si="10"/>
        <v>380.6</v>
      </c>
      <c r="AJ119" s="66">
        <f t="shared" si="11"/>
        <v>257.2</v>
      </c>
    </row>
    <row r="120" spans="1:36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>
        <f t="shared" si="6"/>
        <v>1706.3000000000002</v>
      </c>
      <c r="AF120">
        <f t="shared" si="7"/>
        <v>373.1</v>
      </c>
      <c r="AG120">
        <f t="shared" si="8"/>
        <v>357.1</v>
      </c>
      <c r="AH120">
        <f t="shared" si="9"/>
        <v>237.6</v>
      </c>
      <c r="AI120" s="63">
        <f t="shared" si="10"/>
        <v>363</v>
      </c>
      <c r="AJ120" s="66">
        <f t="shared" si="11"/>
        <v>259.7</v>
      </c>
    </row>
    <row r="121" spans="1:36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>
        <f t="shared" si="6"/>
        <v>1701.3</v>
      </c>
      <c r="AF121">
        <f t="shared" si="7"/>
        <v>389.20000000000005</v>
      </c>
      <c r="AG121">
        <f t="shared" si="8"/>
        <v>360.9</v>
      </c>
      <c r="AH121">
        <f t="shared" si="9"/>
        <v>241.3</v>
      </c>
      <c r="AI121" s="63">
        <f t="shared" si="10"/>
        <v>373.4</v>
      </c>
      <c r="AJ121" s="66">
        <f t="shared" si="11"/>
        <v>257.10000000000002</v>
      </c>
    </row>
    <row r="122" spans="1:36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>
        <f t="shared" si="6"/>
        <v>1723.7</v>
      </c>
      <c r="AF122">
        <f t="shared" si="7"/>
        <v>401.3</v>
      </c>
      <c r="AG122">
        <f t="shared" si="8"/>
        <v>367.79999999999995</v>
      </c>
      <c r="AH122">
        <f t="shared" si="9"/>
        <v>245.5</v>
      </c>
      <c r="AI122" s="63">
        <f t="shared" si="10"/>
        <v>381.9</v>
      </c>
      <c r="AJ122" s="66">
        <f t="shared" si="11"/>
        <v>258.5</v>
      </c>
    </row>
    <row r="123" spans="1:36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>
        <f t="shared" si="6"/>
        <v>1746.7999999999997</v>
      </c>
      <c r="AF123">
        <f t="shared" si="7"/>
        <v>374.1</v>
      </c>
      <c r="AG123">
        <f t="shared" si="8"/>
        <v>358.5</v>
      </c>
      <c r="AH123">
        <f t="shared" si="9"/>
        <v>238.8</v>
      </c>
      <c r="AI123" s="63">
        <f t="shared" si="10"/>
        <v>364.2</v>
      </c>
      <c r="AJ123" s="66">
        <f t="shared" si="11"/>
        <v>260.89999999999998</v>
      </c>
    </row>
    <row r="124" spans="1:36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>
        <f t="shared" si="6"/>
        <v>1730.4</v>
      </c>
      <c r="AF124">
        <f t="shared" si="7"/>
        <v>390.4</v>
      </c>
      <c r="AG124">
        <f t="shared" si="8"/>
        <v>362.8</v>
      </c>
      <c r="AH124">
        <f t="shared" si="9"/>
        <v>242.9</v>
      </c>
      <c r="AI124" s="63">
        <f t="shared" si="10"/>
        <v>374.7</v>
      </c>
      <c r="AJ124" s="66">
        <f t="shared" si="11"/>
        <v>258.39999999999998</v>
      </c>
    </row>
    <row r="125" spans="1:36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125.5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>
        <f t="shared" si="6"/>
        <v>1748.5999999999997</v>
      </c>
      <c r="AF125">
        <f t="shared" si="7"/>
        <v>403.5</v>
      </c>
      <c r="AG125">
        <f t="shared" si="8"/>
        <v>370.6</v>
      </c>
      <c r="AH125">
        <f t="shared" si="9"/>
        <v>246.10000000000002</v>
      </c>
      <c r="AI125" s="63">
        <f t="shared" si="10"/>
        <v>382.8</v>
      </c>
      <c r="AJ125" s="66">
        <f t="shared" si="11"/>
        <v>260.5</v>
      </c>
    </row>
    <row r="126" spans="1:36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>
        <f t="shared" si="6"/>
        <v>1787.0000000000002</v>
      </c>
      <c r="AF126">
        <f t="shared" si="7"/>
        <v>375.29999999999995</v>
      </c>
      <c r="AG126">
        <f t="shared" si="8"/>
        <v>361.5</v>
      </c>
      <c r="AH126">
        <f t="shared" si="9"/>
        <v>239.39999999999998</v>
      </c>
      <c r="AI126" s="63">
        <f t="shared" si="10"/>
        <v>364.2</v>
      </c>
      <c r="AJ126" s="66">
        <f t="shared" si="11"/>
        <v>262.29999999999995</v>
      </c>
    </row>
    <row r="127" spans="1:36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>
        <f t="shared" si="6"/>
        <v>1760.6</v>
      </c>
      <c r="AF127">
        <f t="shared" si="7"/>
        <v>392.1</v>
      </c>
      <c r="AG127">
        <f t="shared" si="8"/>
        <v>365.59999999999997</v>
      </c>
      <c r="AH127">
        <f t="shared" si="9"/>
        <v>243.5</v>
      </c>
      <c r="AI127" s="63">
        <f t="shared" si="10"/>
        <v>375.20000000000005</v>
      </c>
      <c r="AJ127" s="66">
        <f t="shared" si="11"/>
        <v>260.2</v>
      </c>
    </row>
    <row r="128" spans="1:36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126.4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>
        <f t="shared" si="6"/>
        <v>1770.3</v>
      </c>
      <c r="AF128">
        <f t="shared" si="7"/>
        <v>405.9</v>
      </c>
      <c r="AG128">
        <f t="shared" si="8"/>
        <v>372.40000000000003</v>
      </c>
      <c r="AH128">
        <f t="shared" si="9"/>
        <v>247.60000000000002</v>
      </c>
      <c r="AI128" s="63">
        <f t="shared" si="10"/>
        <v>384.6</v>
      </c>
      <c r="AJ128" s="66">
        <f t="shared" si="11"/>
        <v>261.8</v>
      </c>
    </row>
    <row r="129" spans="1:36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>
        <f t="shared" si="6"/>
        <v>1811.4999999999998</v>
      </c>
      <c r="AF129">
        <f t="shared" si="7"/>
        <v>375.9</v>
      </c>
      <c r="AG129">
        <f t="shared" si="8"/>
        <v>362.8</v>
      </c>
      <c r="AH129">
        <f t="shared" si="9"/>
        <v>240.9</v>
      </c>
      <c r="AI129" s="63">
        <f t="shared" si="10"/>
        <v>365.4</v>
      </c>
      <c r="AJ129" s="66">
        <f t="shared" si="11"/>
        <v>262.8</v>
      </c>
    </row>
    <row r="130" spans="1:36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>
        <f t="shared" si="6"/>
        <v>1783.5</v>
      </c>
      <c r="AF130">
        <f t="shared" si="7"/>
        <v>393.8</v>
      </c>
      <c r="AG130">
        <f t="shared" si="8"/>
        <v>367.1</v>
      </c>
      <c r="AH130">
        <f t="shared" si="9"/>
        <v>245</v>
      </c>
      <c r="AI130" s="63">
        <f t="shared" si="10"/>
        <v>376.70000000000005</v>
      </c>
      <c r="AJ130" s="66">
        <f t="shared" si="11"/>
        <v>261.20000000000005</v>
      </c>
    </row>
    <row r="131" spans="1:36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127.3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>
        <f t="shared" ref="AE131:AE194" si="12">P131+O131+N131+M131+L131+K131+J131+I131+H131+G131+F131+E131+D131</f>
        <v>1777.4999999999998</v>
      </c>
      <c r="AF131">
        <f t="shared" ref="AF131:AF194" si="13">SUM(R131:T131)</f>
        <v>407.9</v>
      </c>
      <c r="AG131">
        <f t="shared" ref="AG131:AG194" si="14">SUM(Y131,AA131,Z131)</f>
        <v>373.4</v>
      </c>
      <c r="AH131">
        <f t="shared" ref="AH131:AH194" si="15">SUM(X131,AB131)</f>
        <v>249</v>
      </c>
      <c r="AI131" s="63">
        <f t="shared" ref="AI131:AI194" si="16">SUM(U131,V131,W131)</f>
        <v>387</v>
      </c>
      <c r="AJ131" s="66">
        <f t="shared" ref="AJ131:AJ194" si="17">SUM(AC131,Q131)</f>
        <v>263.10000000000002</v>
      </c>
    </row>
    <row r="132" spans="1:36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>
        <f t="shared" si="12"/>
        <v>1784</v>
      </c>
      <c r="AF132">
        <f t="shared" si="13"/>
        <v>377</v>
      </c>
      <c r="AG132">
        <f t="shared" si="14"/>
        <v>362.5</v>
      </c>
      <c r="AH132">
        <f t="shared" si="15"/>
        <v>242.10000000000002</v>
      </c>
      <c r="AI132" s="63">
        <f t="shared" si="16"/>
        <v>365.9</v>
      </c>
      <c r="AJ132" s="66">
        <f t="shared" si="17"/>
        <v>263.5</v>
      </c>
    </row>
    <row r="133" spans="1:36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>
        <f t="shared" si="12"/>
        <v>1777.8999999999999</v>
      </c>
      <c r="AF133">
        <f t="shared" si="13"/>
        <v>395.49999999999994</v>
      </c>
      <c r="AG133">
        <f t="shared" si="14"/>
        <v>367.5</v>
      </c>
      <c r="AH133">
        <f t="shared" si="15"/>
        <v>246.3</v>
      </c>
      <c r="AI133" s="63">
        <f t="shared" si="16"/>
        <v>378.29999999999995</v>
      </c>
      <c r="AJ133" s="66">
        <f t="shared" si="17"/>
        <v>262.29999999999995</v>
      </c>
    </row>
    <row r="134" spans="1:36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127.9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>
        <f t="shared" si="12"/>
        <v>1770.7</v>
      </c>
      <c r="AF134">
        <f t="shared" si="13"/>
        <v>409.8</v>
      </c>
      <c r="AG134">
        <f t="shared" si="14"/>
        <v>374.9</v>
      </c>
      <c r="AH134">
        <f t="shared" si="15"/>
        <v>250.6</v>
      </c>
      <c r="AI134" s="63">
        <f t="shared" si="16"/>
        <v>388.70000000000005</v>
      </c>
      <c r="AJ134" s="66">
        <f t="shared" si="17"/>
        <v>264.8</v>
      </c>
    </row>
    <row r="135" spans="1:36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>
        <f t="shared" si="12"/>
        <v>1756.3999999999999</v>
      </c>
      <c r="AF135">
        <f t="shared" si="13"/>
        <v>378</v>
      </c>
      <c r="AG135">
        <f t="shared" si="14"/>
        <v>364.2</v>
      </c>
      <c r="AH135">
        <f t="shared" si="15"/>
        <v>242.60000000000002</v>
      </c>
      <c r="AI135" s="63">
        <f t="shared" si="16"/>
        <v>367</v>
      </c>
      <c r="AJ135" s="66">
        <f t="shared" si="17"/>
        <v>264.39999999999998</v>
      </c>
    </row>
    <row r="136" spans="1:36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>
        <f t="shared" si="12"/>
        <v>1763.7</v>
      </c>
      <c r="AF136">
        <f t="shared" si="13"/>
        <v>397</v>
      </c>
      <c r="AG136">
        <f t="shared" si="14"/>
        <v>369</v>
      </c>
      <c r="AH136">
        <f t="shared" si="15"/>
        <v>247.5</v>
      </c>
      <c r="AI136" s="63">
        <f t="shared" si="16"/>
        <v>379.9</v>
      </c>
      <c r="AJ136" s="66">
        <f t="shared" si="17"/>
        <v>263.8</v>
      </c>
    </row>
    <row r="137" spans="1:36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128.69999999999999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>
        <f t="shared" si="12"/>
        <v>1771.7999999999997</v>
      </c>
      <c r="AF137">
        <f t="shared" si="13"/>
        <v>412.7</v>
      </c>
      <c r="AG137">
        <f t="shared" si="14"/>
        <v>377.3</v>
      </c>
      <c r="AH137">
        <f t="shared" si="15"/>
        <v>251.7</v>
      </c>
      <c r="AI137" s="63">
        <f t="shared" si="16"/>
        <v>390.3</v>
      </c>
      <c r="AJ137" s="66">
        <f t="shared" si="17"/>
        <v>266.60000000000002</v>
      </c>
    </row>
    <row r="138" spans="1:36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>
        <f t="shared" si="12"/>
        <v>1762.9</v>
      </c>
      <c r="AF138">
        <f t="shared" si="13"/>
        <v>379</v>
      </c>
      <c r="AG138">
        <f t="shared" si="14"/>
        <v>365.9</v>
      </c>
      <c r="AH138">
        <f t="shared" si="15"/>
        <v>242.6</v>
      </c>
      <c r="AI138" s="63">
        <f t="shared" si="16"/>
        <v>368.4</v>
      </c>
      <c r="AJ138" s="66">
        <f t="shared" si="17"/>
        <v>265.20000000000005</v>
      </c>
    </row>
    <row r="139" spans="1:36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>
        <f t="shared" si="12"/>
        <v>1766.8000000000002</v>
      </c>
      <c r="AF139">
        <f t="shared" si="13"/>
        <v>399.1</v>
      </c>
      <c r="AG139">
        <f t="shared" si="14"/>
        <v>371.1</v>
      </c>
      <c r="AH139">
        <f t="shared" si="15"/>
        <v>248.2</v>
      </c>
      <c r="AI139" s="63">
        <f t="shared" si="16"/>
        <v>381.4</v>
      </c>
      <c r="AJ139" s="66">
        <f t="shared" si="17"/>
        <v>265.20000000000005</v>
      </c>
    </row>
    <row r="140" spans="1:36">
      <c r="A140" t="s">
        <v>30</v>
      </c>
      <c r="B140">
        <v>2016</v>
      </c>
      <c r="C140" t="s">
        <v>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129.1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>
        <f t="shared" si="12"/>
        <v>1764.6000000000001</v>
      </c>
      <c r="AF140">
        <f t="shared" si="13"/>
        <v>413.59999999999997</v>
      </c>
      <c r="AG140">
        <f t="shared" si="14"/>
        <v>378.79999999999995</v>
      </c>
      <c r="AH140">
        <f t="shared" si="15"/>
        <v>252.6</v>
      </c>
      <c r="AI140" s="63">
        <f t="shared" si="16"/>
        <v>391.5</v>
      </c>
      <c r="AJ140" s="66">
        <f t="shared" si="17"/>
        <v>267.29999999999995</v>
      </c>
    </row>
    <row r="141" spans="1:36">
      <c r="A141" t="s">
        <v>33</v>
      </c>
      <c r="B141">
        <v>2016</v>
      </c>
      <c r="C141" t="s">
        <v>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>
        <f t="shared" si="12"/>
        <v>1755.2</v>
      </c>
      <c r="AF141">
        <f t="shared" si="13"/>
        <v>380.2</v>
      </c>
      <c r="AG141">
        <f t="shared" si="14"/>
        <v>367.2</v>
      </c>
      <c r="AH141">
        <f t="shared" si="15"/>
        <v>243.39999999999998</v>
      </c>
      <c r="AI141" s="63">
        <f t="shared" si="16"/>
        <v>370</v>
      </c>
      <c r="AJ141" s="66">
        <f t="shared" si="17"/>
        <v>265.60000000000002</v>
      </c>
    </row>
    <row r="142" spans="1:36">
      <c r="A142" t="s">
        <v>34</v>
      </c>
      <c r="B142">
        <v>2016</v>
      </c>
      <c r="C142" t="s">
        <v>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>
        <f t="shared" si="12"/>
        <v>1759.8</v>
      </c>
      <c r="AF142">
        <f t="shared" si="13"/>
        <v>400.1</v>
      </c>
      <c r="AG142">
        <f t="shared" si="14"/>
        <v>372.5</v>
      </c>
      <c r="AH142">
        <f t="shared" si="15"/>
        <v>249</v>
      </c>
      <c r="AI142" s="63">
        <f t="shared" si="16"/>
        <v>382.7</v>
      </c>
      <c r="AJ142" s="66">
        <f t="shared" si="17"/>
        <v>265.8</v>
      </c>
    </row>
    <row r="143" spans="1:36">
      <c r="A143" t="s">
        <v>30</v>
      </c>
      <c r="B143">
        <v>2016</v>
      </c>
      <c r="C143" t="s">
        <v>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128.5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>
        <f t="shared" si="12"/>
        <v>1749.0999999999995</v>
      </c>
      <c r="AF143">
        <f t="shared" si="13"/>
        <v>415.3</v>
      </c>
      <c r="AG143">
        <f t="shared" si="14"/>
        <v>380.09999999999997</v>
      </c>
      <c r="AH143">
        <f t="shared" si="15"/>
        <v>251.6</v>
      </c>
      <c r="AI143" s="63">
        <f t="shared" si="16"/>
        <v>393.4</v>
      </c>
      <c r="AJ143" s="66">
        <f t="shared" si="17"/>
        <v>268.7</v>
      </c>
    </row>
    <row r="144" spans="1:36">
      <c r="A144" t="s">
        <v>33</v>
      </c>
      <c r="B144">
        <v>2016</v>
      </c>
      <c r="C144" t="s">
        <v>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>
        <f t="shared" si="12"/>
        <v>1729.8000000000002</v>
      </c>
      <c r="AF144">
        <f t="shared" si="13"/>
        <v>381</v>
      </c>
      <c r="AG144">
        <f t="shared" si="14"/>
        <v>367.8</v>
      </c>
      <c r="AH144">
        <f t="shared" si="15"/>
        <v>242.2</v>
      </c>
      <c r="AI144" s="63">
        <f t="shared" si="16"/>
        <v>371.3</v>
      </c>
      <c r="AJ144" s="66">
        <f t="shared" si="17"/>
        <v>266.39999999999998</v>
      </c>
    </row>
    <row r="145" spans="1:36">
      <c r="A145" t="s">
        <v>34</v>
      </c>
      <c r="B145">
        <v>2016</v>
      </c>
      <c r="C145" t="s">
        <v>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>
        <f t="shared" si="12"/>
        <v>1740.6999999999996</v>
      </c>
      <c r="AF145">
        <f t="shared" si="13"/>
        <v>401.5</v>
      </c>
      <c r="AG145">
        <f t="shared" si="14"/>
        <v>373.3</v>
      </c>
      <c r="AH145">
        <f t="shared" si="15"/>
        <v>248</v>
      </c>
      <c r="AI145" s="63">
        <f t="shared" si="16"/>
        <v>384.29999999999995</v>
      </c>
      <c r="AJ145" s="66">
        <f t="shared" si="17"/>
        <v>267</v>
      </c>
    </row>
    <row r="146" spans="1:36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129.6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>
        <f t="shared" si="12"/>
        <v>1737.3</v>
      </c>
      <c r="AF146">
        <f t="shared" si="13"/>
        <v>416.5</v>
      </c>
      <c r="AG146">
        <f t="shared" si="14"/>
        <v>380.7</v>
      </c>
      <c r="AH146">
        <f t="shared" si="15"/>
        <v>252.2</v>
      </c>
      <c r="AI146" s="63">
        <f t="shared" si="16"/>
        <v>394.9</v>
      </c>
      <c r="AJ146" s="66">
        <f t="shared" si="17"/>
        <v>269.7</v>
      </c>
    </row>
    <row r="147" spans="1:36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>
        <f t="shared" si="12"/>
        <v>1713.2</v>
      </c>
      <c r="AF147">
        <f t="shared" si="13"/>
        <v>381.5</v>
      </c>
      <c r="AG147">
        <f t="shared" si="14"/>
        <v>369.6</v>
      </c>
      <c r="AH147">
        <f t="shared" si="15"/>
        <v>243.5</v>
      </c>
      <c r="AI147" s="63">
        <f t="shared" si="16"/>
        <v>372.7</v>
      </c>
      <c r="AJ147" s="66">
        <f t="shared" si="17"/>
        <v>267.7</v>
      </c>
    </row>
    <row r="148" spans="1:36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>
        <f t="shared" si="12"/>
        <v>1727.3</v>
      </c>
      <c r="AF148">
        <f t="shared" si="13"/>
        <v>402.4</v>
      </c>
      <c r="AG148">
        <f t="shared" si="14"/>
        <v>374.5</v>
      </c>
      <c r="AH148">
        <f t="shared" si="15"/>
        <v>248.8</v>
      </c>
      <c r="AI148" s="63">
        <f t="shared" si="16"/>
        <v>385.79999999999995</v>
      </c>
      <c r="AJ148" s="66">
        <f t="shared" si="17"/>
        <v>268.20000000000005</v>
      </c>
    </row>
    <row r="149" spans="1:36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130.5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>
        <f t="shared" si="12"/>
        <v>1734.4999999999998</v>
      </c>
      <c r="AF149">
        <f t="shared" si="13"/>
        <v>416.90000000000003</v>
      </c>
      <c r="AG149">
        <f t="shared" si="14"/>
        <v>382.1</v>
      </c>
      <c r="AH149">
        <f t="shared" si="15"/>
        <v>253.3</v>
      </c>
      <c r="AI149" s="63">
        <f t="shared" si="16"/>
        <v>397.29999999999995</v>
      </c>
      <c r="AJ149" s="66">
        <f t="shared" si="17"/>
        <v>270.7</v>
      </c>
    </row>
    <row r="150" spans="1:36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>
        <f t="shared" si="12"/>
        <v>1705.3</v>
      </c>
      <c r="AF150">
        <f t="shared" si="13"/>
        <v>382.3</v>
      </c>
      <c r="AG150">
        <f t="shared" si="14"/>
        <v>370.1</v>
      </c>
      <c r="AH150">
        <f t="shared" si="15"/>
        <v>244.60000000000002</v>
      </c>
      <c r="AI150" s="63">
        <f t="shared" si="16"/>
        <v>375</v>
      </c>
      <c r="AJ150" s="66">
        <f t="shared" si="17"/>
        <v>268.70000000000005</v>
      </c>
    </row>
    <row r="151" spans="1:36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>
        <f t="shared" si="12"/>
        <v>1722.2999999999997</v>
      </c>
      <c r="AF151">
        <f t="shared" si="13"/>
        <v>403</v>
      </c>
      <c r="AG151">
        <f t="shared" si="14"/>
        <v>375.4</v>
      </c>
      <c r="AH151">
        <f t="shared" si="15"/>
        <v>250</v>
      </c>
      <c r="AI151" s="63">
        <f t="shared" si="16"/>
        <v>388.09999999999997</v>
      </c>
      <c r="AJ151" s="66">
        <f t="shared" si="17"/>
        <v>269.2</v>
      </c>
    </row>
    <row r="152" spans="1:36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131.1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>
        <f t="shared" si="12"/>
        <v>1728.4999999999998</v>
      </c>
      <c r="AF152">
        <f t="shared" si="13"/>
        <v>418.59999999999997</v>
      </c>
      <c r="AG152">
        <f t="shared" si="14"/>
        <v>383.3</v>
      </c>
      <c r="AH152">
        <f t="shared" si="15"/>
        <v>253.89999999999998</v>
      </c>
      <c r="AI152" s="63">
        <f t="shared" si="16"/>
        <v>399.4</v>
      </c>
      <c r="AJ152" s="66">
        <f t="shared" si="17"/>
        <v>271.60000000000002</v>
      </c>
    </row>
    <row r="153" spans="1:36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>
        <f t="shared" si="12"/>
        <v>1705.7000000000003</v>
      </c>
      <c r="AF153">
        <f t="shared" si="13"/>
        <v>383.20000000000005</v>
      </c>
      <c r="AG153">
        <f t="shared" si="14"/>
        <v>370.8</v>
      </c>
      <c r="AH153">
        <f t="shared" si="15"/>
        <v>244.8</v>
      </c>
      <c r="AI153" s="63">
        <f t="shared" si="16"/>
        <v>377.5</v>
      </c>
      <c r="AJ153" s="66">
        <f t="shared" si="17"/>
        <v>270.10000000000002</v>
      </c>
    </row>
    <row r="154" spans="1:36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>
        <f t="shared" si="12"/>
        <v>1718.8999999999999</v>
      </c>
      <c r="AF154">
        <f t="shared" si="13"/>
        <v>404.29999999999995</v>
      </c>
      <c r="AG154">
        <f t="shared" si="14"/>
        <v>376.4</v>
      </c>
      <c r="AH154">
        <f t="shared" si="15"/>
        <v>250.39999999999998</v>
      </c>
      <c r="AI154" s="63">
        <f t="shared" si="16"/>
        <v>390.29999999999995</v>
      </c>
      <c r="AJ154" s="66">
        <f t="shared" si="17"/>
        <v>270.2</v>
      </c>
    </row>
    <row r="155" spans="1:36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131.69999999999999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>
        <f t="shared" si="12"/>
        <v>1726.3</v>
      </c>
      <c r="AF155">
        <f t="shared" si="13"/>
        <v>420.80000000000007</v>
      </c>
      <c r="AG155">
        <f t="shared" si="14"/>
        <v>383.2</v>
      </c>
      <c r="AH155">
        <f t="shared" si="15"/>
        <v>254.7</v>
      </c>
      <c r="AI155" s="63">
        <f t="shared" si="16"/>
        <v>401</v>
      </c>
      <c r="AJ155" s="66">
        <f t="shared" si="17"/>
        <v>271.89999999999998</v>
      </c>
    </row>
    <row r="156" spans="1:36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>
        <f t="shared" si="12"/>
        <v>1708.1</v>
      </c>
      <c r="AF156">
        <f t="shared" si="13"/>
        <v>384.2</v>
      </c>
      <c r="AG156">
        <f t="shared" si="14"/>
        <v>370.5</v>
      </c>
      <c r="AH156">
        <f t="shared" si="15"/>
        <v>245.60000000000002</v>
      </c>
      <c r="AI156" s="63">
        <f t="shared" si="16"/>
        <v>379.1</v>
      </c>
      <c r="AJ156" s="66">
        <f t="shared" si="17"/>
        <v>270.5</v>
      </c>
    </row>
    <row r="157" spans="1:36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>
        <f t="shared" si="12"/>
        <v>1718.4</v>
      </c>
      <c r="AF157">
        <f t="shared" si="13"/>
        <v>406.1</v>
      </c>
      <c r="AG157">
        <f t="shared" si="14"/>
        <v>376.2</v>
      </c>
      <c r="AH157">
        <f t="shared" si="15"/>
        <v>251.2</v>
      </c>
      <c r="AI157" s="63">
        <f t="shared" si="16"/>
        <v>391.9</v>
      </c>
      <c r="AJ157" s="66">
        <f t="shared" si="17"/>
        <v>270.5</v>
      </c>
    </row>
    <row r="158" spans="1:36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132.1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>
        <f t="shared" si="12"/>
        <v>1727.5</v>
      </c>
      <c r="AF158">
        <f t="shared" si="13"/>
        <v>421.6</v>
      </c>
      <c r="AG158">
        <f t="shared" si="14"/>
        <v>385.1</v>
      </c>
      <c r="AH158">
        <f t="shared" si="15"/>
        <v>255.10000000000002</v>
      </c>
      <c r="AI158" s="63">
        <f t="shared" si="16"/>
        <v>402</v>
      </c>
      <c r="AJ158" s="66">
        <f t="shared" si="17"/>
        <v>273.39999999999998</v>
      </c>
    </row>
    <row r="159" spans="1:36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>
        <f t="shared" si="12"/>
        <v>1709.6</v>
      </c>
      <c r="AF159">
        <f t="shared" si="13"/>
        <v>384.9</v>
      </c>
      <c r="AG159">
        <f t="shared" si="14"/>
        <v>370.90000000000003</v>
      </c>
      <c r="AH159">
        <f t="shared" si="15"/>
        <v>245.6</v>
      </c>
      <c r="AI159" s="63">
        <f t="shared" si="16"/>
        <v>378.7</v>
      </c>
      <c r="AJ159" s="66">
        <f t="shared" si="17"/>
        <v>270.89999999999998</v>
      </c>
    </row>
    <row r="160" spans="1:36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>
        <f t="shared" si="12"/>
        <v>1719.6</v>
      </c>
      <c r="AF160">
        <f t="shared" si="13"/>
        <v>406.8</v>
      </c>
      <c r="AG160">
        <f t="shared" si="14"/>
        <v>377.2</v>
      </c>
      <c r="AH160">
        <f t="shared" si="15"/>
        <v>251.4</v>
      </c>
      <c r="AI160" s="63">
        <f t="shared" si="16"/>
        <v>392.4</v>
      </c>
      <c r="AJ160" s="66">
        <f t="shared" si="17"/>
        <v>271.5</v>
      </c>
    </row>
    <row r="161" spans="1:36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131.4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>
        <f t="shared" si="12"/>
        <v>1738.8</v>
      </c>
      <c r="AF161">
        <f t="shared" si="13"/>
        <v>423.09999999999997</v>
      </c>
      <c r="AG161">
        <f t="shared" si="14"/>
        <v>386.1</v>
      </c>
      <c r="AH161">
        <f t="shared" si="15"/>
        <v>255.4</v>
      </c>
      <c r="AI161" s="63">
        <f t="shared" si="16"/>
        <v>401.40000000000003</v>
      </c>
      <c r="AJ161" s="66">
        <f t="shared" si="17"/>
        <v>273.89999999999998</v>
      </c>
    </row>
    <row r="162" spans="1:36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>
        <f t="shared" si="12"/>
        <v>1731</v>
      </c>
      <c r="AF162">
        <f t="shared" si="13"/>
        <v>384.9</v>
      </c>
      <c r="AG162">
        <f t="shared" si="14"/>
        <v>371.1</v>
      </c>
      <c r="AH162">
        <f t="shared" si="15"/>
        <v>246.3</v>
      </c>
      <c r="AI162" s="63">
        <f t="shared" si="16"/>
        <v>377.2</v>
      </c>
      <c r="AJ162" s="66">
        <f t="shared" si="17"/>
        <v>271.3</v>
      </c>
    </row>
    <row r="163" spans="1:36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>
        <f t="shared" si="12"/>
        <v>1734.6999999999998</v>
      </c>
      <c r="AF163">
        <f t="shared" si="13"/>
        <v>407.7</v>
      </c>
      <c r="AG163">
        <f t="shared" si="14"/>
        <v>377.8</v>
      </c>
      <c r="AH163">
        <f t="shared" si="15"/>
        <v>251.9</v>
      </c>
      <c r="AI163" s="63">
        <f t="shared" si="16"/>
        <v>391.40000000000003</v>
      </c>
      <c r="AJ163" s="66">
        <f t="shared" si="17"/>
        <v>272</v>
      </c>
    </row>
    <row r="164" spans="1:36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132.6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>
        <f t="shared" si="12"/>
        <v>1772.9</v>
      </c>
      <c r="AF164">
        <f t="shared" si="13"/>
        <v>425.9</v>
      </c>
      <c r="AG164">
        <f t="shared" si="14"/>
        <v>388.29999999999995</v>
      </c>
      <c r="AH164">
        <f t="shared" si="15"/>
        <v>256.5</v>
      </c>
      <c r="AI164" s="63">
        <f t="shared" si="16"/>
        <v>404</v>
      </c>
      <c r="AJ164" s="66">
        <f t="shared" si="17"/>
        <v>276</v>
      </c>
    </row>
    <row r="165" spans="1:36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>
        <f t="shared" si="12"/>
        <v>1768.1000000000004</v>
      </c>
      <c r="AF165">
        <f t="shared" si="13"/>
        <v>385.70000000000005</v>
      </c>
      <c r="AG165">
        <f t="shared" si="14"/>
        <v>372.2</v>
      </c>
      <c r="AH165">
        <f t="shared" si="15"/>
        <v>247.4</v>
      </c>
      <c r="AI165" s="63">
        <f t="shared" si="16"/>
        <v>379.5</v>
      </c>
      <c r="AJ165" s="66">
        <f t="shared" si="17"/>
        <v>273.5</v>
      </c>
    </row>
    <row r="166" spans="1:36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>
        <f t="shared" si="12"/>
        <v>1769.3999999999999</v>
      </c>
      <c r="AF166">
        <f t="shared" si="13"/>
        <v>409.7</v>
      </c>
      <c r="AG166">
        <f t="shared" si="14"/>
        <v>379.4</v>
      </c>
      <c r="AH166">
        <f t="shared" si="15"/>
        <v>253</v>
      </c>
      <c r="AI166" s="63">
        <f t="shared" si="16"/>
        <v>393.9</v>
      </c>
      <c r="AJ166" s="66">
        <f t="shared" si="17"/>
        <v>274.10000000000002</v>
      </c>
    </row>
    <row r="167" spans="1:36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134.4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>
        <f t="shared" si="12"/>
        <v>1792.4999999999998</v>
      </c>
      <c r="AF167">
        <f t="shared" si="13"/>
        <v>429</v>
      </c>
      <c r="AG167">
        <f t="shared" si="14"/>
        <v>392</v>
      </c>
      <c r="AH167">
        <f t="shared" si="15"/>
        <v>258.39999999999998</v>
      </c>
      <c r="AI167" s="63">
        <f t="shared" si="16"/>
        <v>408.1</v>
      </c>
      <c r="AJ167" s="66">
        <f t="shared" si="17"/>
        <v>278.7</v>
      </c>
    </row>
    <row r="168" spans="1:36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>
        <f t="shared" si="12"/>
        <v>1773</v>
      </c>
      <c r="AF168">
        <f t="shared" si="13"/>
        <v>388.4</v>
      </c>
      <c r="AG168">
        <f t="shared" si="14"/>
        <v>374.4</v>
      </c>
      <c r="AH168">
        <f t="shared" si="15"/>
        <v>249</v>
      </c>
      <c r="AI168" s="63">
        <f t="shared" si="16"/>
        <v>381</v>
      </c>
      <c r="AJ168" s="66">
        <f t="shared" si="17"/>
        <v>275.89999999999998</v>
      </c>
    </row>
    <row r="169" spans="1:36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>
        <f t="shared" si="12"/>
        <v>1783.7999999999997</v>
      </c>
      <c r="AF169">
        <f t="shared" si="13"/>
        <v>412.6</v>
      </c>
      <c r="AG169">
        <f t="shared" si="14"/>
        <v>382.2</v>
      </c>
      <c r="AH169">
        <f t="shared" si="15"/>
        <v>254.7</v>
      </c>
      <c r="AI169" s="63">
        <f t="shared" si="16"/>
        <v>397.00000000000006</v>
      </c>
      <c r="AJ169" s="66">
        <f t="shared" si="17"/>
        <v>276.60000000000002</v>
      </c>
    </row>
    <row r="170" spans="1:36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135.69999999999999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>
        <f t="shared" si="12"/>
        <v>1784.3000000000002</v>
      </c>
      <c r="AF170">
        <f t="shared" si="13"/>
        <v>430.99999999999994</v>
      </c>
      <c r="AG170">
        <f t="shared" si="14"/>
        <v>393.1</v>
      </c>
      <c r="AH170">
        <f t="shared" si="15"/>
        <v>260.10000000000002</v>
      </c>
      <c r="AI170" s="63">
        <f t="shared" si="16"/>
        <v>411</v>
      </c>
      <c r="AJ170" s="66">
        <f t="shared" si="17"/>
        <v>280.10000000000002</v>
      </c>
    </row>
    <row r="171" spans="1:36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>
        <f t="shared" si="12"/>
        <v>1749.7</v>
      </c>
      <c r="AF171">
        <f t="shared" si="13"/>
        <v>389.9</v>
      </c>
      <c r="AG171">
        <f t="shared" si="14"/>
        <v>376.1</v>
      </c>
      <c r="AH171">
        <f t="shared" si="15"/>
        <v>250.5</v>
      </c>
      <c r="AI171" s="63">
        <f t="shared" si="16"/>
        <v>384.4</v>
      </c>
      <c r="AJ171" s="66">
        <f t="shared" si="17"/>
        <v>278.10000000000002</v>
      </c>
    </row>
    <row r="172" spans="1:36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>
        <f t="shared" si="12"/>
        <v>1770.0000000000002</v>
      </c>
      <c r="AF172">
        <f t="shared" si="13"/>
        <v>414.5</v>
      </c>
      <c r="AG172">
        <f t="shared" si="14"/>
        <v>383.6</v>
      </c>
      <c r="AH172">
        <f t="shared" si="15"/>
        <v>256.3</v>
      </c>
      <c r="AI172" s="63">
        <f t="shared" si="16"/>
        <v>400</v>
      </c>
      <c r="AJ172" s="66">
        <f t="shared" si="17"/>
        <v>278.3</v>
      </c>
    </row>
    <row r="173" spans="1:36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137.30000000000001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>
        <f t="shared" si="12"/>
        <v>1790.9000000000003</v>
      </c>
      <c r="AF173">
        <f t="shared" si="13"/>
        <v>433.99999999999994</v>
      </c>
      <c r="AG173">
        <f t="shared" si="14"/>
        <v>394.1</v>
      </c>
      <c r="AH173">
        <f t="shared" si="15"/>
        <v>261.60000000000002</v>
      </c>
      <c r="AI173" s="63">
        <f t="shared" si="16"/>
        <v>413.79999999999995</v>
      </c>
      <c r="AJ173" s="66">
        <f t="shared" si="17"/>
        <v>281.2</v>
      </c>
    </row>
    <row r="174" spans="1:36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>
        <f t="shared" si="12"/>
        <v>1765.7</v>
      </c>
      <c r="AF174">
        <f t="shared" si="13"/>
        <v>391.5</v>
      </c>
      <c r="AG174">
        <f t="shared" si="14"/>
        <v>376.1</v>
      </c>
      <c r="AH174">
        <f t="shared" si="15"/>
        <v>251.2</v>
      </c>
      <c r="AI174" s="63">
        <f t="shared" si="16"/>
        <v>388.2</v>
      </c>
      <c r="AJ174" s="66">
        <f t="shared" si="17"/>
        <v>279.10000000000002</v>
      </c>
    </row>
    <row r="175" spans="1:36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>
        <f t="shared" si="12"/>
        <v>1779.7</v>
      </c>
      <c r="AF175">
        <f t="shared" si="13"/>
        <v>416.90000000000003</v>
      </c>
      <c r="AG175">
        <f t="shared" si="14"/>
        <v>384.1</v>
      </c>
      <c r="AH175">
        <f t="shared" si="15"/>
        <v>257.5</v>
      </c>
      <c r="AI175" s="63">
        <f t="shared" si="16"/>
        <v>403.1</v>
      </c>
      <c r="AJ175" s="66">
        <f t="shared" si="17"/>
        <v>279.3</v>
      </c>
    </row>
    <row r="176" spans="1:36">
      <c r="A176" t="s">
        <v>30</v>
      </c>
      <c r="B176">
        <v>2017</v>
      </c>
      <c r="C176" t="s">
        <v>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138.6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>
        <f t="shared" si="12"/>
        <v>1817.6999999999998</v>
      </c>
      <c r="AF176">
        <f t="shared" si="13"/>
        <v>437</v>
      </c>
      <c r="AG176">
        <f t="shared" si="14"/>
        <v>396.8</v>
      </c>
      <c r="AH176">
        <f t="shared" si="15"/>
        <v>263.89999999999998</v>
      </c>
      <c r="AI176" s="63">
        <f t="shared" si="16"/>
        <v>419.1</v>
      </c>
      <c r="AJ176" s="66">
        <f t="shared" si="17"/>
        <v>283.79999999999995</v>
      </c>
    </row>
    <row r="177" spans="1:36">
      <c r="A177" t="s">
        <v>33</v>
      </c>
      <c r="B177">
        <v>2017</v>
      </c>
      <c r="C177" t="s">
        <v>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>
        <f t="shared" si="12"/>
        <v>1796.7</v>
      </c>
      <c r="AF177">
        <f t="shared" si="13"/>
        <v>393.9</v>
      </c>
      <c r="AG177">
        <f t="shared" si="14"/>
        <v>377</v>
      </c>
      <c r="AH177">
        <f t="shared" si="15"/>
        <v>252.3</v>
      </c>
      <c r="AI177" s="63">
        <f t="shared" si="16"/>
        <v>393.1</v>
      </c>
      <c r="AJ177" s="66">
        <f t="shared" si="17"/>
        <v>281.10000000000002</v>
      </c>
    </row>
    <row r="178" spans="1:36">
      <c r="A178" t="s">
        <v>34</v>
      </c>
      <c r="B178">
        <v>2017</v>
      </c>
      <c r="C178" t="s">
        <v>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>
        <f t="shared" si="12"/>
        <v>1808.2000000000003</v>
      </c>
      <c r="AF178">
        <f t="shared" si="13"/>
        <v>419.6</v>
      </c>
      <c r="AG178">
        <f t="shared" si="14"/>
        <v>385.79999999999995</v>
      </c>
      <c r="AH178">
        <f t="shared" si="15"/>
        <v>259.39999999999998</v>
      </c>
      <c r="AI178" s="63">
        <f t="shared" si="16"/>
        <v>408.29999999999995</v>
      </c>
      <c r="AJ178" s="66">
        <f t="shared" si="17"/>
        <v>281.60000000000002</v>
      </c>
    </row>
    <row r="179" spans="1:36">
      <c r="A179" t="s">
        <v>30</v>
      </c>
      <c r="B179">
        <v>2017</v>
      </c>
      <c r="C179" t="s">
        <v>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>
        <f t="shared" si="12"/>
        <v>1813.6000000000001</v>
      </c>
      <c r="AF179">
        <f t="shared" si="13"/>
        <v>437.09999999999997</v>
      </c>
      <c r="AG179">
        <f t="shared" si="14"/>
        <v>396.5</v>
      </c>
      <c r="AH179">
        <f t="shared" si="15"/>
        <v>263.89999999999998</v>
      </c>
      <c r="AI179" s="63">
        <f t="shared" si="16"/>
        <v>421.2</v>
      </c>
      <c r="AJ179" s="66">
        <f t="shared" si="17"/>
        <v>285.10000000000002</v>
      </c>
    </row>
    <row r="180" spans="1:36">
      <c r="A180" t="s">
        <v>33</v>
      </c>
      <c r="B180">
        <v>2017</v>
      </c>
      <c r="C180" t="s">
        <v>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>
        <f t="shared" si="12"/>
        <v>1767.5000000000002</v>
      </c>
      <c r="AF180">
        <f t="shared" si="13"/>
        <v>395.2</v>
      </c>
      <c r="AG180">
        <f t="shared" si="14"/>
        <v>377.6</v>
      </c>
      <c r="AH180">
        <f t="shared" si="15"/>
        <v>252.79999999999998</v>
      </c>
      <c r="AI180" s="63">
        <f t="shared" si="16"/>
        <v>395.2</v>
      </c>
      <c r="AJ180" s="66">
        <f t="shared" si="17"/>
        <v>282.10000000000002</v>
      </c>
    </row>
    <row r="181" spans="1:36">
      <c r="A181" t="s">
        <v>34</v>
      </c>
      <c r="B181">
        <v>2017</v>
      </c>
      <c r="C181" t="s">
        <v>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>
        <f t="shared" si="12"/>
        <v>1795</v>
      </c>
      <c r="AF181">
        <f t="shared" si="13"/>
        <v>420.2</v>
      </c>
      <c r="AG181">
        <f t="shared" si="14"/>
        <v>386</v>
      </c>
      <c r="AH181">
        <f t="shared" si="15"/>
        <v>259.60000000000002</v>
      </c>
      <c r="AI181" s="63">
        <f t="shared" si="16"/>
        <v>410.4</v>
      </c>
      <c r="AJ181" s="66">
        <f t="shared" si="17"/>
        <v>282.79999999999995</v>
      </c>
    </row>
    <row r="182" spans="1:36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140.4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>
        <f t="shared" si="12"/>
        <v>1800.7</v>
      </c>
      <c r="AF182">
        <f t="shared" si="13"/>
        <v>438.1</v>
      </c>
      <c r="AG182">
        <f t="shared" si="14"/>
        <v>398.6</v>
      </c>
      <c r="AH182">
        <f t="shared" si="15"/>
        <v>264.60000000000002</v>
      </c>
      <c r="AI182" s="63">
        <f t="shared" si="16"/>
        <v>422.50000000000006</v>
      </c>
      <c r="AJ182" s="66">
        <f t="shared" si="17"/>
        <v>285.89999999999998</v>
      </c>
    </row>
    <row r="183" spans="1:36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>
        <f t="shared" si="12"/>
        <v>1748.2999999999997</v>
      </c>
      <c r="AF183">
        <f t="shared" si="13"/>
        <v>396.29999999999995</v>
      </c>
      <c r="AG183">
        <f t="shared" si="14"/>
        <v>379.59999999999997</v>
      </c>
      <c r="AH183">
        <f t="shared" si="15"/>
        <v>254.5</v>
      </c>
      <c r="AI183" s="63">
        <f t="shared" si="16"/>
        <v>397.2</v>
      </c>
      <c r="AJ183" s="66">
        <f t="shared" si="17"/>
        <v>283.5</v>
      </c>
    </row>
    <row r="184" spans="1:36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>
        <f t="shared" si="12"/>
        <v>1779.9</v>
      </c>
      <c r="AF184">
        <f t="shared" si="13"/>
        <v>421.3</v>
      </c>
      <c r="AG184">
        <f t="shared" si="14"/>
        <v>388</v>
      </c>
      <c r="AH184">
        <f t="shared" si="15"/>
        <v>260.60000000000002</v>
      </c>
      <c r="AI184" s="63">
        <f t="shared" si="16"/>
        <v>411.9</v>
      </c>
      <c r="AJ184" s="66">
        <f t="shared" si="17"/>
        <v>283.79999999999995</v>
      </c>
    </row>
    <row r="185" spans="1:36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141.30000000000001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>
        <f t="shared" si="12"/>
        <v>1781.5</v>
      </c>
      <c r="AF185">
        <f t="shared" si="13"/>
        <v>438.90000000000003</v>
      </c>
      <c r="AG185">
        <f t="shared" si="14"/>
        <v>399.1</v>
      </c>
      <c r="AH185">
        <f t="shared" si="15"/>
        <v>265</v>
      </c>
      <c r="AI185" s="63">
        <f t="shared" si="16"/>
        <v>423.6</v>
      </c>
      <c r="AJ185" s="66">
        <f t="shared" si="17"/>
        <v>285.8</v>
      </c>
    </row>
    <row r="186" spans="1:36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>
        <f t="shared" si="12"/>
        <v>1727.9</v>
      </c>
      <c r="AF186">
        <f t="shared" si="13"/>
        <v>397.09999999999997</v>
      </c>
      <c r="AG186">
        <f t="shared" si="14"/>
        <v>381.1</v>
      </c>
      <c r="AH186">
        <f t="shared" si="15"/>
        <v>256</v>
      </c>
      <c r="AI186" s="63">
        <f t="shared" si="16"/>
        <v>398.5</v>
      </c>
      <c r="AJ186" s="66">
        <f t="shared" si="17"/>
        <v>285.8</v>
      </c>
    </row>
    <row r="187" spans="1:36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>
        <f t="shared" si="12"/>
        <v>1760.4</v>
      </c>
      <c r="AF187">
        <f t="shared" si="13"/>
        <v>422</v>
      </c>
      <c r="AG187">
        <f t="shared" si="14"/>
        <v>389.1</v>
      </c>
      <c r="AH187">
        <f t="shared" si="15"/>
        <v>261.5</v>
      </c>
      <c r="AI187" s="63">
        <f t="shared" si="16"/>
        <v>413.2</v>
      </c>
      <c r="AJ187" s="66">
        <f t="shared" si="17"/>
        <v>284.5</v>
      </c>
    </row>
    <row r="188" spans="1:36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142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>
        <f t="shared" si="12"/>
        <v>1782</v>
      </c>
      <c r="AF188">
        <f t="shared" si="13"/>
        <v>440.5</v>
      </c>
      <c r="AG188">
        <f t="shared" si="14"/>
        <v>402.4</v>
      </c>
      <c r="AH188">
        <f t="shared" si="15"/>
        <v>266</v>
      </c>
      <c r="AI188" s="63">
        <f t="shared" si="16"/>
        <v>424.5</v>
      </c>
      <c r="AJ188" s="66">
        <f t="shared" si="17"/>
        <v>288.39999999999998</v>
      </c>
    </row>
    <row r="189" spans="1:36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>
        <f t="shared" si="12"/>
        <v>1715.5</v>
      </c>
      <c r="AF189">
        <f t="shared" si="13"/>
        <v>398.59999999999997</v>
      </c>
      <c r="AG189">
        <f t="shared" si="14"/>
        <v>382.40000000000003</v>
      </c>
      <c r="AH189">
        <f t="shared" si="15"/>
        <v>257.2</v>
      </c>
      <c r="AI189" s="63">
        <f t="shared" si="16"/>
        <v>399.2</v>
      </c>
      <c r="AJ189" s="66">
        <f t="shared" si="17"/>
        <v>286.79999999999995</v>
      </c>
    </row>
    <row r="190" spans="1:36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>
        <f t="shared" si="12"/>
        <v>1756</v>
      </c>
      <c r="AF190">
        <f t="shared" si="13"/>
        <v>423.6</v>
      </c>
      <c r="AG190">
        <f t="shared" si="14"/>
        <v>391.20000000000005</v>
      </c>
      <c r="AH190">
        <f t="shared" si="15"/>
        <v>262.5</v>
      </c>
      <c r="AI190" s="63">
        <f t="shared" si="16"/>
        <v>414.1</v>
      </c>
      <c r="AJ190" s="66">
        <f t="shared" si="17"/>
        <v>286.60000000000002</v>
      </c>
    </row>
    <row r="191" spans="1:36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142.9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>
        <f t="shared" si="12"/>
        <v>1780.0000000000002</v>
      </c>
      <c r="AF191">
        <f t="shared" si="13"/>
        <v>442.5</v>
      </c>
      <c r="AG191">
        <f t="shared" si="14"/>
        <v>405</v>
      </c>
      <c r="AH191">
        <f t="shared" si="15"/>
        <v>268</v>
      </c>
      <c r="AI191" s="63">
        <f t="shared" si="16"/>
        <v>427.6</v>
      </c>
      <c r="AJ191" s="66">
        <f t="shared" si="17"/>
        <v>290.29999999999995</v>
      </c>
    </row>
    <row r="192" spans="1:36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>
        <f t="shared" si="12"/>
        <v>1719.9999999999998</v>
      </c>
      <c r="AF192">
        <f t="shared" si="13"/>
        <v>401.40000000000003</v>
      </c>
      <c r="AG192">
        <f t="shared" si="14"/>
        <v>386.20000000000005</v>
      </c>
      <c r="AH192">
        <f t="shared" si="15"/>
        <v>258.89999999999998</v>
      </c>
      <c r="AI192" s="63">
        <f t="shared" si="16"/>
        <v>399.3</v>
      </c>
      <c r="AJ192" s="66">
        <f t="shared" si="17"/>
        <v>287.39999999999998</v>
      </c>
    </row>
    <row r="193" spans="1:36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>
        <f t="shared" si="12"/>
        <v>1757.1000000000004</v>
      </c>
      <c r="AF193">
        <f t="shared" si="13"/>
        <v>426</v>
      </c>
      <c r="AG193">
        <f t="shared" si="14"/>
        <v>394.6</v>
      </c>
      <c r="AH193">
        <f t="shared" si="15"/>
        <v>264.39999999999998</v>
      </c>
      <c r="AI193" s="63">
        <f t="shared" si="16"/>
        <v>416</v>
      </c>
      <c r="AJ193" s="66">
        <f t="shared" si="17"/>
        <v>288.20000000000005</v>
      </c>
    </row>
    <row r="194" spans="1:36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143.19999999999999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>
        <f t="shared" si="12"/>
        <v>1782.4</v>
      </c>
      <c r="AF194">
        <f t="shared" si="13"/>
        <v>444.7</v>
      </c>
      <c r="AG194">
        <f t="shared" si="14"/>
        <v>407.6</v>
      </c>
      <c r="AH194">
        <f t="shared" si="15"/>
        <v>269.60000000000002</v>
      </c>
      <c r="AI194" s="63">
        <f t="shared" si="16"/>
        <v>429.3</v>
      </c>
      <c r="AJ194" s="66">
        <f t="shared" si="17"/>
        <v>292.10000000000002</v>
      </c>
    </row>
    <row r="195" spans="1:36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>
        <f t="shared" ref="AE195:AE258" si="18">P195+O195+N195+M195+L195+K195+J195+I195+H195+G195+F195+E195+D195</f>
        <v>1722.9</v>
      </c>
      <c r="AF195">
        <f t="shared" ref="AF195:AF258" si="19">SUM(R195:T195)</f>
        <v>403.5</v>
      </c>
      <c r="AG195">
        <f t="shared" ref="AG195:AG258" si="20">SUM(Y195,AA195,Z195)</f>
        <v>388.2</v>
      </c>
      <c r="AH195">
        <f t="shared" ref="AH195:AH258" si="21">SUM(X195,AB195)</f>
        <v>260.10000000000002</v>
      </c>
      <c r="AI195" s="63">
        <f t="shared" ref="AI195:AI258" si="22">SUM(U195,V195,W195)</f>
        <v>400.4</v>
      </c>
      <c r="AJ195" s="66">
        <f t="shared" ref="AJ195:AJ258" si="23">SUM(AC195,Q195)</f>
        <v>289.20000000000005</v>
      </c>
    </row>
    <row r="196" spans="1:36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>
        <f t="shared" si="18"/>
        <v>1759.7999999999995</v>
      </c>
      <c r="AF196">
        <f t="shared" si="19"/>
        <v>428.09999999999997</v>
      </c>
      <c r="AG196">
        <f t="shared" si="20"/>
        <v>396.8</v>
      </c>
      <c r="AH196">
        <f t="shared" si="21"/>
        <v>265.89999999999998</v>
      </c>
      <c r="AI196" s="63">
        <f t="shared" si="22"/>
        <v>417.5</v>
      </c>
      <c r="AJ196" s="66">
        <f t="shared" si="23"/>
        <v>290</v>
      </c>
    </row>
    <row r="197" spans="1:36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142.5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>
        <f t="shared" si="18"/>
        <v>1790.3</v>
      </c>
      <c r="AF197">
        <f t="shared" si="19"/>
        <v>446.3</v>
      </c>
      <c r="AG197">
        <f t="shared" si="20"/>
        <v>410.3</v>
      </c>
      <c r="AH197">
        <f t="shared" si="21"/>
        <v>269.8</v>
      </c>
      <c r="AI197" s="63">
        <f t="shared" si="22"/>
        <v>429.8</v>
      </c>
      <c r="AJ197" s="66">
        <f t="shared" si="23"/>
        <v>292.89999999999998</v>
      </c>
    </row>
    <row r="198" spans="1:36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>
        <f t="shared" si="18"/>
        <v>1747.2999999999997</v>
      </c>
      <c r="AF198">
        <f t="shared" si="19"/>
        <v>405</v>
      </c>
      <c r="AG198">
        <f t="shared" si="20"/>
        <v>390.1</v>
      </c>
      <c r="AH198">
        <f t="shared" si="21"/>
        <v>260.79999999999995</v>
      </c>
      <c r="AI198" s="63">
        <f t="shared" si="22"/>
        <v>402.1</v>
      </c>
      <c r="AJ198" s="66">
        <f t="shared" si="23"/>
        <v>290.5</v>
      </c>
    </row>
    <row r="199" spans="1:36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>
        <f t="shared" si="18"/>
        <v>1774.1000000000001</v>
      </c>
      <c r="AF199">
        <f t="shared" si="19"/>
        <v>429.7</v>
      </c>
      <c r="AG199">
        <f t="shared" si="20"/>
        <v>399.1</v>
      </c>
      <c r="AH199">
        <f t="shared" si="21"/>
        <v>266.29999999999995</v>
      </c>
      <c r="AI199" s="63">
        <f t="shared" si="22"/>
        <v>418.5</v>
      </c>
      <c r="AJ199" s="66">
        <f t="shared" si="23"/>
        <v>290.89999999999998</v>
      </c>
    </row>
    <row r="200" spans="1:36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143.6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>
        <f t="shared" si="18"/>
        <v>1810.4999999999998</v>
      </c>
      <c r="AF200">
        <f t="shared" si="19"/>
        <v>447.20000000000005</v>
      </c>
      <c r="AG200">
        <f t="shared" si="20"/>
        <v>411.70000000000005</v>
      </c>
      <c r="AH200">
        <f t="shared" si="21"/>
        <v>270.39999999999998</v>
      </c>
      <c r="AI200" s="63">
        <f t="shared" si="22"/>
        <v>433.5</v>
      </c>
      <c r="AJ200" s="66">
        <f t="shared" si="23"/>
        <v>292.10000000000002</v>
      </c>
    </row>
    <row r="201" spans="1:36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>
        <f t="shared" si="18"/>
        <v>1771.1</v>
      </c>
      <c r="AF201">
        <f t="shared" si="19"/>
        <v>406.4</v>
      </c>
      <c r="AG201">
        <f t="shared" si="20"/>
        <v>393.1</v>
      </c>
      <c r="AH201">
        <f t="shared" si="21"/>
        <v>261.79999999999995</v>
      </c>
      <c r="AI201" s="63">
        <f t="shared" si="22"/>
        <v>405.29999999999995</v>
      </c>
      <c r="AJ201" s="66">
        <f t="shared" si="23"/>
        <v>291.60000000000002</v>
      </c>
    </row>
    <row r="202" spans="1:36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>
        <f t="shared" si="18"/>
        <v>1795.3000000000002</v>
      </c>
      <c r="AF202">
        <f t="shared" si="19"/>
        <v>430.80000000000007</v>
      </c>
      <c r="AG202">
        <f t="shared" si="20"/>
        <v>401.4</v>
      </c>
      <c r="AH202">
        <f t="shared" si="21"/>
        <v>267.10000000000002</v>
      </c>
      <c r="AI202" s="63">
        <f t="shared" si="22"/>
        <v>421.9</v>
      </c>
      <c r="AJ202" s="66">
        <f t="shared" si="23"/>
        <v>290.7</v>
      </c>
    </row>
    <row r="203" spans="1:36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144.6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>
        <f t="shared" si="18"/>
        <v>1818.8</v>
      </c>
      <c r="AF203">
        <f t="shared" si="19"/>
        <v>449.2</v>
      </c>
      <c r="AG203">
        <f t="shared" si="20"/>
        <v>413.80000000000007</v>
      </c>
      <c r="AH203">
        <f t="shared" si="21"/>
        <v>270.70000000000005</v>
      </c>
      <c r="AI203" s="63">
        <f t="shared" si="22"/>
        <v>436.09999999999997</v>
      </c>
      <c r="AJ203" s="66">
        <f t="shared" si="23"/>
        <v>293</v>
      </c>
    </row>
    <row r="204" spans="1:36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>
        <f t="shared" si="18"/>
        <v>1767.6000000000001</v>
      </c>
      <c r="AF204">
        <f t="shared" si="19"/>
        <v>407.3</v>
      </c>
      <c r="AG204">
        <f t="shared" si="20"/>
        <v>395.8</v>
      </c>
      <c r="AH204">
        <f t="shared" si="21"/>
        <v>263.20000000000005</v>
      </c>
      <c r="AI204" s="63">
        <f t="shared" si="22"/>
        <v>408.79999999999995</v>
      </c>
      <c r="AJ204" s="66">
        <f t="shared" si="23"/>
        <v>293.10000000000002</v>
      </c>
    </row>
    <row r="205" spans="1:36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>
        <f t="shared" si="18"/>
        <v>1798.6999999999998</v>
      </c>
      <c r="AF205">
        <f t="shared" si="19"/>
        <v>432.20000000000005</v>
      </c>
      <c r="AG205">
        <f t="shared" si="20"/>
        <v>403.9</v>
      </c>
      <c r="AH205">
        <f t="shared" si="21"/>
        <v>267.79999999999995</v>
      </c>
      <c r="AI205" s="63">
        <f t="shared" si="22"/>
        <v>424.9</v>
      </c>
      <c r="AJ205" s="66">
        <f t="shared" si="23"/>
        <v>291.8</v>
      </c>
    </row>
    <row r="206" spans="1:36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145.30000000000001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>
        <f t="shared" si="18"/>
        <v>1799.8</v>
      </c>
      <c r="AF206">
        <f t="shared" si="19"/>
        <v>449.5</v>
      </c>
      <c r="AG206">
        <f t="shared" si="20"/>
        <v>417.5</v>
      </c>
      <c r="AH206">
        <f t="shared" si="21"/>
        <v>272</v>
      </c>
      <c r="AI206" s="63">
        <f t="shared" si="22"/>
        <v>438.3</v>
      </c>
      <c r="AJ206" s="66">
        <f t="shared" si="23"/>
        <v>295.10000000000002</v>
      </c>
    </row>
    <row r="207" spans="1:36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>
        <f t="shared" si="18"/>
        <v>1748.3999999999999</v>
      </c>
      <c r="AF207">
        <f t="shared" si="19"/>
        <v>409.20000000000005</v>
      </c>
      <c r="AG207">
        <f t="shared" si="20"/>
        <v>397.9</v>
      </c>
      <c r="AH207">
        <f t="shared" si="21"/>
        <v>265</v>
      </c>
      <c r="AI207" s="63">
        <f t="shared" si="22"/>
        <v>411.4</v>
      </c>
      <c r="AJ207" s="66">
        <f t="shared" si="23"/>
        <v>295.20000000000005</v>
      </c>
    </row>
    <row r="208" spans="1:36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>
        <f t="shared" si="18"/>
        <v>1779.4999999999998</v>
      </c>
      <c r="AF208">
        <f t="shared" si="19"/>
        <v>433.29999999999995</v>
      </c>
      <c r="AG208">
        <f t="shared" si="20"/>
        <v>406.7</v>
      </c>
      <c r="AH208">
        <f t="shared" si="21"/>
        <v>269.3</v>
      </c>
      <c r="AI208" s="63">
        <f t="shared" si="22"/>
        <v>427.3</v>
      </c>
      <c r="AJ208" s="66">
        <f t="shared" si="23"/>
        <v>293.89999999999998</v>
      </c>
    </row>
    <row r="209" spans="1:36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146.30000000000001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>
        <f t="shared" si="18"/>
        <v>1782.1999999999998</v>
      </c>
      <c r="AF209">
        <f t="shared" si="19"/>
        <v>445</v>
      </c>
      <c r="AG209">
        <f t="shared" si="20"/>
        <v>418.9</v>
      </c>
      <c r="AH209">
        <f t="shared" si="21"/>
        <v>279.20000000000005</v>
      </c>
      <c r="AI209" s="63">
        <f t="shared" si="22"/>
        <v>443.5</v>
      </c>
      <c r="AJ209" s="66">
        <f t="shared" si="23"/>
        <v>299.39999999999998</v>
      </c>
    </row>
    <row r="210" spans="1:36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>
        <f t="shared" si="18"/>
        <v>1754.1</v>
      </c>
      <c r="AF210">
        <f t="shared" si="19"/>
        <v>411</v>
      </c>
      <c r="AG210">
        <f t="shared" si="20"/>
        <v>399.5</v>
      </c>
      <c r="AH210">
        <f t="shared" si="21"/>
        <v>266.60000000000002</v>
      </c>
      <c r="AI210" s="63">
        <f t="shared" si="22"/>
        <v>414.80000000000007</v>
      </c>
      <c r="AJ210" s="66">
        <f t="shared" si="23"/>
        <v>296.5</v>
      </c>
    </row>
    <row r="211" spans="1:36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>
        <f t="shared" si="18"/>
        <v>1776.2</v>
      </c>
      <c r="AF211">
        <f t="shared" si="19"/>
        <v>434</v>
      </c>
      <c r="AG211">
        <f t="shared" si="20"/>
        <v>409.8</v>
      </c>
      <c r="AH211">
        <f t="shared" si="21"/>
        <v>274.10000000000002</v>
      </c>
      <c r="AI211" s="63">
        <f t="shared" si="22"/>
        <v>434.40000000000003</v>
      </c>
      <c r="AJ211" s="66">
        <f t="shared" si="23"/>
        <v>298.89999999999998</v>
      </c>
    </row>
    <row r="212" spans="1:36">
      <c r="A212" t="s">
        <v>30</v>
      </c>
      <c r="B212">
        <v>2018</v>
      </c>
      <c r="C212" t="s">
        <v>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146.9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>
        <f t="shared" si="18"/>
        <v>1787.5</v>
      </c>
      <c r="AF212">
        <f t="shared" si="19"/>
        <v>448</v>
      </c>
      <c r="AG212">
        <f t="shared" si="20"/>
        <v>423.6</v>
      </c>
      <c r="AH212">
        <f t="shared" si="21"/>
        <v>278.5</v>
      </c>
      <c r="AI212" s="63">
        <f t="shared" si="22"/>
        <v>445.20000000000005</v>
      </c>
      <c r="AJ212" s="66">
        <f t="shared" si="23"/>
        <v>302</v>
      </c>
    </row>
    <row r="213" spans="1:36">
      <c r="A213" t="s">
        <v>33</v>
      </c>
      <c r="B213">
        <v>2018</v>
      </c>
      <c r="C213" t="s">
        <v>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>
        <f t="shared" si="18"/>
        <v>1757.4999999999995</v>
      </c>
      <c r="AF213">
        <f t="shared" si="19"/>
        <v>413.1</v>
      </c>
      <c r="AG213">
        <f t="shared" si="20"/>
        <v>398.6</v>
      </c>
      <c r="AH213">
        <f t="shared" si="21"/>
        <v>267.3</v>
      </c>
      <c r="AI213" s="63">
        <f t="shared" si="22"/>
        <v>419.40000000000003</v>
      </c>
      <c r="AJ213" s="66">
        <f t="shared" si="23"/>
        <v>296.60000000000002</v>
      </c>
    </row>
    <row r="214" spans="1:36">
      <c r="A214" t="s">
        <v>34</v>
      </c>
      <c r="B214">
        <v>2018</v>
      </c>
      <c r="C214" t="s">
        <v>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>
        <f t="shared" si="18"/>
        <v>1775.6999999999998</v>
      </c>
      <c r="AF214">
        <f t="shared" si="19"/>
        <v>433.8</v>
      </c>
      <c r="AG214">
        <f t="shared" si="20"/>
        <v>409.8</v>
      </c>
      <c r="AH214">
        <f t="shared" si="21"/>
        <v>274.10000000000002</v>
      </c>
      <c r="AI214" s="63">
        <f t="shared" si="22"/>
        <v>434.2</v>
      </c>
      <c r="AJ214" s="66">
        <f t="shared" si="23"/>
        <v>298.89999999999998</v>
      </c>
    </row>
    <row r="215" spans="1:36">
      <c r="A215" t="s">
        <v>30</v>
      </c>
      <c r="B215">
        <v>2018</v>
      </c>
      <c r="C215" t="s">
        <v>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146.5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>
        <f t="shared" si="18"/>
        <v>1773.1000000000001</v>
      </c>
      <c r="AF215">
        <f t="shared" si="19"/>
        <v>448.3</v>
      </c>
      <c r="AG215">
        <f t="shared" si="20"/>
        <v>427.3</v>
      </c>
      <c r="AH215">
        <f t="shared" si="21"/>
        <v>282.79999999999995</v>
      </c>
      <c r="AI215" s="63">
        <f t="shared" si="22"/>
        <v>445</v>
      </c>
      <c r="AJ215" s="66">
        <f t="shared" si="23"/>
        <v>304</v>
      </c>
    </row>
    <row r="216" spans="1:36">
      <c r="A216" t="s">
        <v>33</v>
      </c>
      <c r="B216">
        <v>2018</v>
      </c>
      <c r="C216" t="s">
        <v>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>
        <f t="shared" si="18"/>
        <v>1746.5999999999997</v>
      </c>
      <c r="AF216">
        <f t="shared" si="19"/>
        <v>413.8</v>
      </c>
      <c r="AG216">
        <f t="shared" si="20"/>
        <v>397</v>
      </c>
      <c r="AH216">
        <f t="shared" si="21"/>
        <v>268.10000000000002</v>
      </c>
      <c r="AI216" s="63">
        <f t="shared" si="22"/>
        <v>415.09999999999997</v>
      </c>
      <c r="AJ216" s="66">
        <f t="shared" si="23"/>
        <v>296.29999999999995</v>
      </c>
    </row>
    <row r="217" spans="1:36">
      <c r="A217" t="s">
        <v>34</v>
      </c>
      <c r="B217">
        <v>2018</v>
      </c>
      <c r="C217" t="s">
        <v>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>
        <f t="shared" si="18"/>
        <v>1762.7999999999997</v>
      </c>
      <c r="AF217">
        <f t="shared" si="19"/>
        <v>434.3</v>
      </c>
      <c r="AG217">
        <f t="shared" si="20"/>
        <v>410.5</v>
      </c>
      <c r="AH217">
        <f t="shared" si="21"/>
        <v>277.10000000000002</v>
      </c>
      <c r="AI217" s="63">
        <f t="shared" si="22"/>
        <v>432.4</v>
      </c>
      <c r="AJ217" s="66">
        <f t="shared" si="23"/>
        <v>299.8</v>
      </c>
    </row>
    <row r="218" spans="1:36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147.69999999999999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>
        <f t="shared" si="18"/>
        <v>1759.6000000000001</v>
      </c>
      <c r="AF218">
        <f t="shared" si="19"/>
        <v>445.6</v>
      </c>
      <c r="AG218">
        <f t="shared" si="20"/>
        <v>426.69999999999993</v>
      </c>
      <c r="AH218">
        <f t="shared" si="21"/>
        <v>283.10000000000002</v>
      </c>
      <c r="AI218" s="63">
        <f t="shared" si="22"/>
        <v>444</v>
      </c>
      <c r="AJ218" s="66">
        <f t="shared" si="23"/>
        <v>304.39999999999998</v>
      </c>
    </row>
    <row r="219" spans="1:36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>
        <f t="shared" si="18"/>
        <v>1744.3</v>
      </c>
      <c r="AF219">
        <f t="shared" si="19"/>
        <v>414.5</v>
      </c>
      <c r="AG219">
        <f t="shared" si="20"/>
        <v>397.1</v>
      </c>
      <c r="AH219">
        <f t="shared" si="21"/>
        <v>269.5</v>
      </c>
      <c r="AI219" s="63">
        <f t="shared" si="22"/>
        <v>412.59999999999997</v>
      </c>
      <c r="AJ219" s="66">
        <f t="shared" si="23"/>
        <v>296.5</v>
      </c>
    </row>
    <row r="220" spans="1:36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>
        <f t="shared" si="18"/>
        <v>1753.4</v>
      </c>
      <c r="AF220">
        <f t="shared" si="19"/>
        <v>433</v>
      </c>
      <c r="AG220">
        <f t="shared" si="20"/>
        <v>410.2</v>
      </c>
      <c r="AH220">
        <f t="shared" si="21"/>
        <v>277.89999999999998</v>
      </c>
      <c r="AI220" s="63">
        <f t="shared" si="22"/>
        <v>430.79999999999995</v>
      </c>
      <c r="AJ220" s="66">
        <f t="shared" si="23"/>
        <v>300.10000000000002</v>
      </c>
    </row>
    <row r="221" spans="1:36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148.5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>
        <f t="shared" si="18"/>
        <v>1759.7999999999997</v>
      </c>
      <c r="AF221">
        <f t="shared" si="19"/>
        <v>446.5</v>
      </c>
      <c r="AG221">
        <f t="shared" si="20"/>
        <v>428.1</v>
      </c>
      <c r="AH221">
        <f t="shared" si="21"/>
        <v>284.8</v>
      </c>
      <c r="AI221" s="63">
        <f t="shared" si="22"/>
        <v>443.9</v>
      </c>
      <c r="AJ221" s="66">
        <f t="shared" si="23"/>
        <v>305</v>
      </c>
    </row>
    <row r="222" spans="1:36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>
        <f t="shared" si="18"/>
        <v>1754.4</v>
      </c>
      <c r="AF222">
        <f t="shared" si="19"/>
        <v>415.5</v>
      </c>
      <c r="AG222">
        <f t="shared" si="20"/>
        <v>398</v>
      </c>
      <c r="AH222">
        <f t="shared" si="21"/>
        <v>271.5</v>
      </c>
      <c r="AI222" s="63">
        <f t="shared" si="22"/>
        <v>412.20000000000005</v>
      </c>
      <c r="AJ222" s="66">
        <f t="shared" si="23"/>
        <v>297.3</v>
      </c>
    </row>
    <row r="223" spans="1:36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>
        <f t="shared" si="18"/>
        <v>1757.1000000000001</v>
      </c>
      <c r="AF223">
        <f t="shared" si="19"/>
        <v>433.9</v>
      </c>
      <c r="AG223">
        <f t="shared" si="20"/>
        <v>411.30000000000007</v>
      </c>
      <c r="AH223">
        <f t="shared" si="21"/>
        <v>279.7</v>
      </c>
      <c r="AI223" s="63">
        <f t="shared" si="22"/>
        <v>430.59999999999997</v>
      </c>
      <c r="AJ223" s="66">
        <f t="shared" si="23"/>
        <v>300.8</v>
      </c>
    </row>
    <row r="224" spans="1:36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149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>
        <f t="shared" si="18"/>
        <v>1761.1999999999998</v>
      </c>
      <c r="AF224">
        <f t="shared" si="19"/>
        <v>447</v>
      </c>
      <c r="AG224">
        <f t="shared" si="20"/>
        <v>429.2</v>
      </c>
      <c r="AH224">
        <f t="shared" si="21"/>
        <v>284.39999999999998</v>
      </c>
      <c r="AI224" s="63">
        <f t="shared" si="22"/>
        <v>445.4</v>
      </c>
      <c r="AJ224" s="66">
        <f t="shared" si="23"/>
        <v>305.3</v>
      </c>
    </row>
    <row r="225" spans="1:36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>
        <f t="shared" si="18"/>
        <v>1768.4000000000003</v>
      </c>
      <c r="AF225">
        <f t="shared" si="19"/>
        <v>416.29999999999995</v>
      </c>
      <c r="AG225">
        <f t="shared" si="20"/>
        <v>399.6</v>
      </c>
      <c r="AH225">
        <f t="shared" si="21"/>
        <v>271.7</v>
      </c>
      <c r="AI225" s="63">
        <f t="shared" si="22"/>
        <v>414.6</v>
      </c>
      <c r="AJ225" s="66">
        <f t="shared" si="23"/>
        <v>298.10000000000002</v>
      </c>
    </row>
    <row r="226" spans="1:36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>
        <f t="shared" si="18"/>
        <v>1762.8999999999999</v>
      </c>
      <c r="AF226">
        <f t="shared" si="19"/>
        <v>434.5</v>
      </c>
      <c r="AG226">
        <f t="shared" si="20"/>
        <v>412.59999999999997</v>
      </c>
      <c r="AH226">
        <f t="shared" si="21"/>
        <v>279.60000000000002</v>
      </c>
      <c r="AI226" s="63">
        <f t="shared" si="22"/>
        <v>432.5</v>
      </c>
      <c r="AJ226" s="66">
        <f t="shared" si="23"/>
        <v>301.2</v>
      </c>
    </row>
    <row r="227" spans="1:36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150.1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E227">
        <f t="shared" si="18"/>
        <v>1782.1</v>
      </c>
      <c r="AF227">
        <f t="shared" si="19"/>
        <v>448.59999999999997</v>
      </c>
      <c r="AG227">
        <f t="shared" si="20"/>
        <v>432.79999999999995</v>
      </c>
      <c r="AH227">
        <f t="shared" si="21"/>
        <v>285.20000000000005</v>
      </c>
      <c r="AI227" s="63">
        <f t="shared" si="22"/>
        <v>446.5</v>
      </c>
      <c r="AJ227" s="66">
        <f t="shared" si="23"/>
        <v>306.20000000000005</v>
      </c>
    </row>
    <row r="228" spans="1:36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E228">
        <f t="shared" si="18"/>
        <v>1811.5000000000002</v>
      </c>
      <c r="AF228">
        <f t="shared" si="19"/>
        <v>417.9</v>
      </c>
      <c r="AG228">
        <f t="shared" si="20"/>
        <v>402.1</v>
      </c>
      <c r="AH228">
        <f t="shared" si="21"/>
        <v>272.39999999999998</v>
      </c>
      <c r="AI228" s="63">
        <f t="shared" si="22"/>
        <v>416.7</v>
      </c>
      <c r="AJ228" s="66">
        <f t="shared" si="23"/>
        <v>299.5</v>
      </c>
    </row>
    <row r="229" spans="1:36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E229">
        <f t="shared" si="18"/>
        <v>1791.8999999999999</v>
      </c>
      <c r="AF229">
        <f t="shared" si="19"/>
        <v>436.1</v>
      </c>
      <c r="AG229">
        <f t="shared" si="20"/>
        <v>415.7</v>
      </c>
      <c r="AH229">
        <f t="shared" si="21"/>
        <v>280.3</v>
      </c>
      <c r="AI229" s="63">
        <f t="shared" si="22"/>
        <v>434.09999999999997</v>
      </c>
      <c r="AJ229" s="66">
        <f t="shared" si="23"/>
        <v>302.29999999999995</v>
      </c>
    </row>
    <row r="230" spans="1:36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149.4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E230">
        <f t="shared" si="18"/>
        <v>1804.2</v>
      </c>
      <c r="AF230">
        <f t="shared" si="19"/>
        <v>448.59999999999997</v>
      </c>
      <c r="AG230">
        <f t="shared" si="20"/>
        <v>434.29999999999995</v>
      </c>
      <c r="AH230">
        <f t="shared" si="21"/>
        <v>286.5</v>
      </c>
      <c r="AI230" s="63">
        <f t="shared" si="22"/>
        <v>446.80000000000007</v>
      </c>
      <c r="AJ230" s="66">
        <f t="shared" si="23"/>
        <v>307.5</v>
      </c>
    </row>
    <row r="231" spans="1:36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E231">
        <f t="shared" si="18"/>
        <v>1833.3000000000002</v>
      </c>
      <c r="AF231">
        <f t="shared" si="19"/>
        <v>418.4</v>
      </c>
      <c r="AG231">
        <f t="shared" si="20"/>
        <v>402.8</v>
      </c>
      <c r="AH231">
        <f t="shared" si="21"/>
        <v>274</v>
      </c>
      <c r="AI231" s="63">
        <f t="shared" si="22"/>
        <v>417.29999999999995</v>
      </c>
      <c r="AJ231" s="66">
        <f t="shared" si="23"/>
        <v>300.29999999999995</v>
      </c>
    </row>
    <row r="232" spans="1:36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E232">
        <f t="shared" si="18"/>
        <v>1814.1</v>
      </c>
      <c r="AF232">
        <f t="shared" si="19"/>
        <v>436.4</v>
      </c>
      <c r="AG232">
        <f t="shared" si="20"/>
        <v>416.70000000000005</v>
      </c>
      <c r="AH232">
        <f t="shared" si="21"/>
        <v>281.70000000000005</v>
      </c>
      <c r="AI232" s="63">
        <f t="shared" si="22"/>
        <v>434.40000000000003</v>
      </c>
      <c r="AJ232" s="66">
        <f t="shared" si="23"/>
        <v>303.5</v>
      </c>
    </row>
    <row r="233" spans="1:36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150.6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E233">
        <f t="shared" si="18"/>
        <v>1826.9000000000003</v>
      </c>
      <c r="AF233">
        <f t="shared" si="19"/>
        <v>449.1</v>
      </c>
      <c r="AG233">
        <f t="shared" si="20"/>
        <v>437.79999999999995</v>
      </c>
      <c r="AH233">
        <f t="shared" si="21"/>
        <v>288.29999999999995</v>
      </c>
      <c r="AI233" s="63">
        <f t="shared" si="22"/>
        <v>447.4</v>
      </c>
      <c r="AJ233" s="66">
        <f t="shared" si="23"/>
        <v>308.7</v>
      </c>
    </row>
    <row r="234" spans="1:36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E234">
        <f t="shared" si="18"/>
        <v>1857.3999999999999</v>
      </c>
      <c r="AF234">
        <f t="shared" si="19"/>
        <v>419.3</v>
      </c>
      <c r="AG234">
        <f t="shared" si="20"/>
        <v>406</v>
      </c>
      <c r="AH234">
        <f t="shared" si="21"/>
        <v>275.89999999999998</v>
      </c>
      <c r="AI234" s="63">
        <f t="shared" si="22"/>
        <v>415.3</v>
      </c>
      <c r="AJ234" s="66">
        <f t="shared" si="23"/>
        <v>301.7</v>
      </c>
    </row>
    <row r="235" spans="1:36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E235">
        <f t="shared" si="18"/>
        <v>1837.5</v>
      </c>
      <c r="AF235">
        <f t="shared" si="19"/>
        <v>437</v>
      </c>
      <c r="AG235">
        <f t="shared" si="20"/>
        <v>420.1</v>
      </c>
      <c r="AH235">
        <f t="shared" si="21"/>
        <v>283.60000000000002</v>
      </c>
      <c r="AI235" s="63">
        <f t="shared" si="22"/>
        <v>434.09999999999997</v>
      </c>
      <c r="AJ235" s="66">
        <f t="shared" si="23"/>
        <v>304.7</v>
      </c>
    </row>
    <row r="236" spans="1:36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151.6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E236">
        <f t="shared" si="18"/>
        <v>1834.5</v>
      </c>
      <c r="AF236">
        <f t="shared" si="19"/>
        <v>449.5</v>
      </c>
      <c r="AG236">
        <f t="shared" si="20"/>
        <v>439.1</v>
      </c>
      <c r="AH236">
        <f t="shared" si="21"/>
        <v>291.5</v>
      </c>
      <c r="AI236" s="63">
        <f t="shared" si="22"/>
        <v>448.2</v>
      </c>
      <c r="AJ236" s="66">
        <f t="shared" si="23"/>
        <v>310</v>
      </c>
    </row>
    <row r="237" spans="1:36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E237">
        <f t="shared" si="18"/>
        <v>1869.1</v>
      </c>
      <c r="AF237">
        <f t="shared" si="19"/>
        <v>420.2</v>
      </c>
      <c r="AG237">
        <f t="shared" si="20"/>
        <v>407.70000000000005</v>
      </c>
      <c r="AH237">
        <f t="shared" si="21"/>
        <v>279.3</v>
      </c>
      <c r="AI237" s="63">
        <f t="shared" si="22"/>
        <v>415.20000000000005</v>
      </c>
      <c r="AJ237" s="66">
        <f t="shared" si="23"/>
        <v>303.20000000000005</v>
      </c>
    </row>
    <row r="238" spans="1:36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E238">
        <f t="shared" si="18"/>
        <v>1846.5</v>
      </c>
      <c r="AF238">
        <f t="shared" si="19"/>
        <v>437.6</v>
      </c>
      <c r="AG238">
        <f t="shared" si="20"/>
        <v>421.6</v>
      </c>
      <c r="AH238">
        <f t="shared" si="21"/>
        <v>286.89999999999998</v>
      </c>
      <c r="AI238" s="63">
        <f t="shared" si="22"/>
        <v>434.6</v>
      </c>
      <c r="AJ238" s="66">
        <f t="shared" si="23"/>
        <v>306</v>
      </c>
    </row>
    <row r="239" spans="1:36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152.19999999999999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E239">
        <f t="shared" si="18"/>
        <v>1848.6999999999998</v>
      </c>
      <c r="AF239">
        <f t="shared" si="19"/>
        <v>449.29999999999995</v>
      </c>
      <c r="AG239">
        <f t="shared" si="20"/>
        <v>440.09999999999997</v>
      </c>
      <c r="AH239">
        <f t="shared" si="21"/>
        <v>293.60000000000002</v>
      </c>
      <c r="AI239" s="63">
        <f t="shared" si="22"/>
        <v>449.40000000000003</v>
      </c>
      <c r="AJ239" s="66">
        <f t="shared" si="23"/>
        <v>311.10000000000002</v>
      </c>
    </row>
    <row r="240" spans="1:36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E240">
        <f t="shared" si="18"/>
        <v>1874.9</v>
      </c>
      <c r="AF240">
        <f t="shared" si="19"/>
        <v>420.8</v>
      </c>
      <c r="AG240">
        <f t="shared" si="20"/>
        <v>408.70000000000005</v>
      </c>
      <c r="AH240">
        <f t="shared" si="21"/>
        <v>280.89999999999998</v>
      </c>
      <c r="AI240" s="63">
        <f t="shared" si="22"/>
        <v>417.09999999999997</v>
      </c>
      <c r="AJ240" s="66">
        <f t="shared" si="23"/>
        <v>304.29999999999995</v>
      </c>
    </row>
    <row r="241" spans="1:36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E241">
        <f t="shared" si="18"/>
        <v>1857.7</v>
      </c>
      <c r="AF241">
        <f t="shared" si="19"/>
        <v>437.69999999999993</v>
      </c>
      <c r="AG241">
        <f t="shared" si="20"/>
        <v>422.59999999999997</v>
      </c>
      <c r="AH241">
        <f t="shared" si="21"/>
        <v>288.7</v>
      </c>
      <c r="AI241" s="63">
        <f t="shared" si="22"/>
        <v>436</v>
      </c>
      <c r="AJ241" s="66">
        <f t="shared" si="23"/>
        <v>307.2</v>
      </c>
    </row>
    <row r="242" spans="1:36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153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E242">
        <f t="shared" si="18"/>
        <v>1876.9</v>
      </c>
      <c r="AF242">
        <f t="shared" si="19"/>
        <v>449.4</v>
      </c>
      <c r="AG242">
        <f t="shared" si="20"/>
        <v>441.09999999999997</v>
      </c>
      <c r="AH242">
        <f t="shared" si="21"/>
        <v>294</v>
      </c>
      <c r="AI242" s="63">
        <f t="shared" si="22"/>
        <v>451.29999999999995</v>
      </c>
      <c r="AJ242" s="66">
        <f t="shared" si="23"/>
        <v>312</v>
      </c>
    </row>
    <row r="243" spans="1:36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E243">
        <f t="shared" si="18"/>
        <v>1902.5999999999997</v>
      </c>
      <c r="AF243">
        <f t="shared" si="19"/>
        <v>422.20000000000005</v>
      </c>
      <c r="AG243">
        <f t="shared" si="20"/>
        <v>409.4</v>
      </c>
      <c r="AH243">
        <f t="shared" si="21"/>
        <v>281.89999999999998</v>
      </c>
      <c r="AI243" s="63">
        <f t="shared" si="22"/>
        <v>420.59999999999997</v>
      </c>
      <c r="AJ243" s="66">
        <f t="shared" si="23"/>
        <v>305.3</v>
      </c>
    </row>
    <row r="244" spans="1:36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E244">
        <f t="shared" si="18"/>
        <v>1885.6</v>
      </c>
      <c r="AF244">
        <f t="shared" si="19"/>
        <v>438.40000000000003</v>
      </c>
      <c r="AG244">
        <f t="shared" si="20"/>
        <v>423.4</v>
      </c>
      <c r="AH244">
        <f t="shared" si="21"/>
        <v>289.39999999999998</v>
      </c>
      <c r="AI244" s="63">
        <f t="shared" si="22"/>
        <v>438.6</v>
      </c>
      <c r="AJ244" s="66">
        <f t="shared" si="23"/>
        <v>308.10000000000002</v>
      </c>
    </row>
    <row r="245" spans="1:36">
      <c r="A245" t="s">
        <v>30</v>
      </c>
      <c r="B245">
        <v>2019</v>
      </c>
      <c r="C245" t="s">
        <v>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153.5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E245">
        <f t="shared" si="18"/>
        <v>1904.6</v>
      </c>
      <c r="AF245">
        <f t="shared" si="19"/>
        <v>450.8</v>
      </c>
      <c r="AG245">
        <f t="shared" si="20"/>
        <v>442</v>
      </c>
      <c r="AH245">
        <f t="shared" si="21"/>
        <v>294.89999999999998</v>
      </c>
      <c r="AI245" s="63">
        <f t="shared" si="22"/>
        <v>452.79999999999995</v>
      </c>
      <c r="AJ245" s="66">
        <f t="shared" si="23"/>
        <v>313.29999999999995</v>
      </c>
    </row>
    <row r="246" spans="1:36">
      <c r="A246" t="s">
        <v>33</v>
      </c>
      <c r="B246">
        <v>2019</v>
      </c>
      <c r="C246" t="s">
        <v>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E246">
        <f t="shared" si="18"/>
        <v>1924</v>
      </c>
      <c r="AF246">
        <f t="shared" si="19"/>
        <v>423.09999999999997</v>
      </c>
      <c r="AG246">
        <f t="shared" si="20"/>
        <v>410.2</v>
      </c>
      <c r="AH246">
        <f t="shared" si="21"/>
        <v>282.60000000000002</v>
      </c>
      <c r="AI246" s="63">
        <f t="shared" si="22"/>
        <v>424.79999999999995</v>
      </c>
      <c r="AJ246" s="66">
        <f t="shared" si="23"/>
        <v>306.20000000000005</v>
      </c>
    </row>
    <row r="247" spans="1:36">
      <c r="A247" t="s">
        <v>34</v>
      </c>
      <c r="B247">
        <v>2019</v>
      </c>
      <c r="C247" t="s">
        <v>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E247">
        <f t="shared" si="18"/>
        <v>1910.9</v>
      </c>
      <c r="AF247">
        <f t="shared" si="19"/>
        <v>439.5</v>
      </c>
      <c r="AG247">
        <f t="shared" si="20"/>
        <v>424.20000000000005</v>
      </c>
      <c r="AH247">
        <f t="shared" si="21"/>
        <v>290.20000000000005</v>
      </c>
      <c r="AI247" s="63">
        <f t="shared" si="22"/>
        <v>441.1</v>
      </c>
      <c r="AJ247" s="66">
        <f t="shared" si="23"/>
        <v>309.20000000000005</v>
      </c>
    </row>
    <row r="248" spans="1:36">
      <c r="A248" t="s">
        <v>30</v>
      </c>
      <c r="B248">
        <v>2019</v>
      </c>
      <c r="C248" t="s">
        <v>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152.80000000000001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E248">
        <f t="shared" si="18"/>
        <v>1941</v>
      </c>
      <c r="AF248">
        <f t="shared" si="19"/>
        <v>451.79999999999995</v>
      </c>
      <c r="AG248">
        <f t="shared" si="20"/>
        <v>445.6</v>
      </c>
      <c r="AH248">
        <f t="shared" si="21"/>
        <v>295.39999999999998</v>
      </c>
      <c r="AI248" s="63">
        <f t="shared" si="22"/>
        <v>453.90000000000003</v>
      </c>
      <c r="AJ248" s="66">
        <f t="shared" si="23"/>
        <v>314.89999999999998</v>
      </c>
    </row>
    <row r="249" spans="1:36">
      <c r="A249" t="s">
        <v>33</v>
      </c>
      <c r="B249">
        <v>2019</v>
      </c>
      <c r="C249" t="s">
        <v>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E249">
        <f t="shared" si="18"/>
        <v>1956.7000000000003</v>
      </c>
      <c r="AF249">
        <f t="shared" si="19"/>
        <v>424.20000000000005</v>
      </c>
      <c r="AG249">
        <f t="shared" si="20"/>
        <v>413.90000000000003</v>
      </c>
      <c r="AH249">
        <f t="shared" si="21"/>
        <v>283.39999999999998</v>
      </c>
      <c r="AI249" s="63">
        <f t="shared" si="22"/>
        <v>426.2</v>
      </c>
      <c r="AJ249" s="66">
        <f t="shared" si="23"/>
        <v>308.10000000000002</v>
      </c>
    </row>
    <row r="250" spans="1:36">
      <c r="A250" t="s">
        <v>34</v>
      </c>
      <c r="B250">
        <v>2019</v>
      </c>
      <c r="C250" t="s">
        <v>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E250">
        <f t="shared" si="18"/>
        <v>1946.1</v>
      </c>
      <c r="AF250">
        <f t="shared" si="19"/>
        <v>440.6</v>
      </c>
      <c r="AG250">
        <f t="shared" si="20"/>
        <v>427.8</v>
      </c>
      <c r="AH250">
        <f t="shared" si="21"/>
        <v>290.8</v>
      </c>
      <c r="AI250" s="63">
        <f t="shared" si="22"/>
        <v>442.3</v>
      </c>
      <c r="AJ250" s="66">
        <f t="shared" si="23"/>
        <v>311</v>
      </c>
    </row>
    <row r="251" spans="1:36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153.9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E251">
        <f t="shared" si="18"/>
        <v>1938.6000000000001</v>
      </c>
      <c r="AF251">
        <f t="shared" si="19"/>
        <v>452.30000000000007</v>
      </c>
      <c r="AG251">
        <f t="shared" si="20"/>
        <v>448.1</v>
      </c>
      <c r="AH251">
        <f t="shared" si="21"/>
        <v>298.2</v>
      </c>
      <c r="AI251" s="63">
        <f t="shared" si="22"/>
        <v>456</v>
      </c>
      <c r="AJ251" s="66">
        <f t="shared" si="23"/>
        <v>316.7</v>
      </c>
    </row>
    <row r="252" spans="1:36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E252">
        <f t="shared" si="18"/>
        <v>1945.3999999999999</v>
      </c>
      <c r="AF252">
        <f t="shared" si="19"/>
        <v>425.1</v>
      </c>
      <c r="AG252">
        <f t="shared" si="20"/>
        <v>415.4</v>
      </c>
      <c r="AH252">
        <f t="shared" si="21"/>
        <v>285.89999999999998</v>
      </c>
      <c r="AI252" s="63">
        <f t="shared" si="22"/>
        <v>429.1</v>
      </c>
      <c r="AJ252" s="66">
        <f t="shared" si="23"/>
        <v>309.20000000000005</v>
      </c>
    </row>
    <row r="253" spans="1:36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E253">
        <f t="shared" si="18"/>
        <v>1940.4</v>
      </c>
      <c r="AF253">
        <f t="shared" si="19"/>
        <v>441.2</v>
      </c>
      <c r="AG253">
        <f t="shared" si="20"/>
        <v>429.8</v>
      </c>
      <c r="AH253">
        <f t="shared" si="21"/>
        <v>293.5</v>
      </c>
      <c r="AI253" s="63">
        <f t="shared" si="22"/>
        <v>444.7</v>
      </c>
      <c r="AJ253" s="66">
        <f t="shared" si="23"/>
        <v>312.60000000000002</v>
      </c>
    </row>
    <row r="254" spans="1:36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154.80000000000001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E254">
        <f t="shared" si="18"/>
        <v>1909.8000000000004</v>
      </c>
      <c r="AF254">
        <f t="shared" si="19"/>
        <v>452.8</v>
      </c>
      <c r="AG254">
        <f t="shared" si="20"/>
        <v>448.29999999999995</v>
      </c>
      <c r="AH254">
        <f t="shared" si="21"/>
        <v>299.60000000000002</v>
      </c>
      <c r="AI254" s="63">
        <f t="shared" si="22"/>
        <v>458.90000000000003</v>
      </c>
      <c r="AJ254" s="66">
        <f t="shared" si="23"/>
        <v>317.8</v>
      </c>
    </row>
    <row r="255" spans="1:36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E255">
        <f t="shared" si="18"/>
        <v>1916.6</v>
      </c>
      <c r="AF255">
        <f t="shared" si="19"/>
        <v>426</v>
      </c>
      <c r="AG255">
        <f t="shared" si="20"/>
        <v>415.09999999999997</v>
      </c>
      <c r="AH255">
        <f t="shared" si="21"/>
        <v>287.89999999999998</v>
      </c>
      <c r="AI255" s="63">
        <f t="shared" si="22"/>
        <v>434.1</v>
      </c>
      <c r="AJ255" s="66">
        <f t="shared" si="23"/>
        <v>310.39999999999998</v>
      </c>
    </row>
    <row r="256" spans="1:36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E256">
        <f t="shared" si="18"/>
        <v>1911.6</v>
      </c>
      <c r="AF256">
        <f t="shared" si="19"/>
        <v>442</v>
      </c>
      <c r="AG256">
        <f t="shared" si="20"/>
        <v>429.7</v>
      </c>
      <c r="AH256">
        <f t="shared" si="21"/>
        <v>295.10000000000002</v>
      </c>
      <c r="AI256" s="63">
        <f t="shared" si="22"/>
        <v>448.4</v>
      </c>
      <c r="AJ256" s="66">
        <f t="shared" si="23"/>
        <v>313.7</v>
      </c>
    </row>
    <row r="257" spans="1:36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154.5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E257">
        <f t="shared" si="18"/>
        <v>1894.6</v>
      </c>
      <c r="AF257">
        <f t="shared" si="19"/>
        <v>453.5</v>
      </c>
      <c r="AG257">
        <f t="shared" si="20"/>
        <v>448.2</v>
      </c>
      <c r="AH257">
        <f t="shared" si="21"/>
        <v>301.79999999999995</v>
      </c>
      <c r="AI257" s="63">
        <f t="shared" si="22"/>
        <v>459.4</v>
      </c>
      <c r="AJ257" s="66">
        <f t="shared" si="23"/>
        <v>319.10000000000002</v>
      </c>
    </row>
    <row r="258" spans="1:36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E258">
        <f t="shared" si="18"/>
        <v>1898.5</v>
      </c>
      <c r="AF258">
        <f t="shared" si="19"/>
        <v>427.1</v>
      </c>
      <c r="AG258">
        <f t="shared" si="20"/>
        <v>415</v>
      </c>
      <c r="AH258">
        <f t="shared" si="21"/>
        <v>290.3</v>
      </c>
      <c r="AI258" s="63">
        <f t="shared" si="22"/>
        <v>436.7</v>
      </c>
      <c r="AJ258" s="66">
        <f t="shared" si="23"/>
        <v>312</v>
      </c>
    </row>
    <row r="259" spans="1:36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>
        <f t="shared" ref="AE259:AE322" si="24">P259+O259+N259+M259+L259+K259+J259+I259+H259+G259+F259+E259+D259</f>
        <v>1895.3999999999999</v>
      </c>
      <c r="AF259">
        <f t="shared" ref="AF259:AF322" si="25">SUM(R259:T259)</f>
        <v>442.90000000000003</v>
      </c>
      <c r="AG259">
        <f t="shared" ref="AG259:AG322" si="26">SUM(Y259,AA259,Z259)</f>
        <v>429.7</v>
      </c>
      <c r="AH259">
        <f t="shared" ref="AH259:AH322" si="27">SUM(X259,AB259)</f>
        <v>297.5</v>
      </c>
      <c r="AI259" s="63">
        <f t="shared" ref="AI259:AI322" si="28">SUM(U259,V259,W259)</f>
        <v>449.79999999999995</v>
      </c>
      <c r="AJ259" s="66">
        <f t="shared" ref="AJ259:AJ322" si="29">SUM(AC259,Q259)</f>
        <v>315</v>
      </c>
    </row>
    <row r="260" spans="1:36">
      <c r="A260" t="s">
        <v>30</v>
      </c>
      <c r="B260">
        <v>2020</v>
      </c>
      <c r="C260" t="s">
        <v>37</v>
      </c>
      <c r="D260">
        <v>147.19999999999999</v>
      </c>
      <c r="E260">
        <v>184.2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161.80000000000001</v>
      </c>
      <c r="P260">
        <v>150.1</v>
      </c>
      <c r="Q260">
        <v>180.6</v>
      </c>
      <c r="R260">
        <v>152.30000000000001</v>
      </c>
      <c r="S260">
        <v>142.9</v>
      </c>
      <c r="T260">
        <v>150.9</v>
      </c>
      <c r="U260">
        <v>155.6</v>
      </c>
      <c r="V260">
        <v>148.4</v>
      </c>
      <c r="W260">
        <v>147.5</v>
      </c>
      <c r="X260">
        <v>154.30000000000001</v>
      </c>
      <c r="Y260">
        <v>136.30000000000001</v>
      </c>
      <c r="Z260">
        <v>146.69999999999999</v>
      </c>
      <c r="AA260">
        <v>157.80000000000001</v>
      </c>
      <c r="AB260">
        <v>151.80000000000001</v>
      </c>
      <c r="AC260">
        <v>147.5</v>
      </c>
      <c r="AD260">
        <v>153.30000000000001</v>
      </c>
      <c r="AE260">
        <f t="shared" si="24"/>
        <v>1960.8</v>
      </c>
      <c r="AF260">
        <f t="shared" si="25"/>
        <v>446.1</v>
      </c>
      <c r="AG260">
        <f t="shared" si="26"/>
        <v>440.8</v>
      </c>
      <c r="AH260">
        <f t="shared" si="27"/>
        <v>306.10000000000002</v>
      </c>
      <c r="AI260" s="63">
        <f t="shared" si="28"/>
        <v>451.5</v>
      </c>
      <c r="AJ260" s="66">
        <f t="shared" si="29"/>
        <v>328.1</v>
      </c>
    </row>
    <row r="261" spans="1:36">
      <c r="A261" t="s">
        <v>33</v>
      </c>
      <c r="B261">
        <v>2020</v>
      </c>
      <c r="C261" t="s">
        <v>37</v>
      </c>
      <c r="D261">
        <v>151.80000000000001</v>
      </c>
      <c r="E261">
        <v>184.2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161.80000000000001</v>
      </c>
      <c r="P261">
        <v>153.5</v>
      </c>
      <c r="Q261">
        <v>180.6</v>
      </c>
      <c r="R261">
        <v>152.30000000000001</v>
      </c>
      <c r="S261">
        <v>142.9</v>
      </c>
      <c r="T261">
        <v>150.9</v>
      </c>
      <c r="U261">
        <v>155.6</v>
      </c>
      <c r="V261">
        <v>137.1</v>
      </c>
      <c r="W261">
        <v>147.5</v>
      </c>
      <c r="X261">
        <v>144.80000000000001</v>
      </c>
      <c r="Y261">
        <v>136.30000000000001</v>
      </c>
      <c r="Z261">
        <v>146.69999999999999</v>
      </c>
      <c r="AA261">
        <v>157.80000000000001</v>
      </c>
      <c r="AB261">
        <v>151.80000000000001</v>
      </c>
      <c r="AC261">
        <v>147.5</v>
      </c>
      <c r="AD261">
        <v>153.30000000000001</v>
      </c>
      <c r="AE261">
        <f t="shared" si="24"/>
        <v>1982.7</v>
      </c>
      <c r="AF261">
        <f t="shared" si="25"/>
        <v>446.1</v>
      </c>
      <c r="AG261">
        <f t="shared" si="26"/>
        <v>440.8</v>
      </c>
      <c r="AH261">
        <f t="shared" si="27"/>
        <v>296.60000000000002</v>
      </c>
      <c r="AI261" s="63">
        <f t="shared" si="28"/>
        <v>440.2</v>
      </c>
      <c r="AJ261" s="66">
        <f t="shared" si="29"/>
        <v>328.1</v>
      </c>
    </row>
    <row r="262" spans="1:36">
      <c r="A262" t="s">
        <v>34</v>
      </c>
      <c r="B262">
        <v>2020</v>
      </c>
      <c r="C262" t="s">
        <v>37</v>
      </c>
      <c r="D262">
        <v>148.69999999999999</v>
      </c>
      <c r="E262">
        <v>184.2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161.80000000000001</v>
      </c>
      <c r="P262">
        <v>151.4</v>
      </c>
      <c r="Q262">
        <v>180.6</v>
      </c>
      <c r="R262">
        <v>152.30000000000001</v>
      </c>
      <c r="S262">
        <v>142.9</v>
      </c>
      <c r="T262">
        <v>150.9</v>
      </c>
      <c r="U262">
        <v>155.6</v>
      </c>
      <c r="V262">
        <v>144.1</v>
      </c>
      <c r="W262">
        <v>147.5</v>
      </c>
      <c r="X262">
        <v>150.69999999999999</v>
      </c>
      <c r="Y262">
        <v>136.30000000000001</v>
      </c>
      <c r="Z262">
        <v>146.69999999999999</v>
      </c>
      <c r="AA262">
        <v>157.80000000000001</v>
      </c>
      <c r="AB262">
        <v>151.80000000000001</v>
      </c>
      <c r="AC262">
        <v>147.5</v>
      </c>
      <c r="AD262">
        <v>153.30000000000001</v>
      </c>
      <c r="AE262">
        <f t="shared" si="24"/>
        <v>1968.6999999999998</v>
      </c>
      <c r="AF262">
        <f t="shared" si="25"/>
        <v>446.1</v>
      </c>
      <c r="AG262">
        <f t="shared" si="26"/>
        <v>440.8</v>
      </c>
      <c r="AH262">
        <f t="shared" si="27"/>
        <v>302.5</v>
      </c>
      <c r="AI262" s="63">
        <f t="shared" si="28"/>
        <v>447.2</v>
      </c>
      <c r="AJ262" s="66">
        <f t="shared" si="29"/>
        <v>328.1</v>
      </c>
    </row>
    <row r="263" spans="1:36">
      <c r="A263" t="s">
        <v>30</v>
      </c>
      <c r="B263">
        <v>2020</v>
      </c>
      <c r="C263" t="s">
        <v>38</v>
      </c>
      <c r="D263">
        <v>147.69999999999999</v>
      </c>
      <c r="E263">
        <v>184.2</v>
      </c>
      <c r="F263">
        <v>156.69999999999999</v>
      </c>
      <c r="G263">
        <v>153</v>
      </c>
      <c r="H263">
        <v>136.30000000000001</v>
      </c>
      <c r="I263">
        <v>147.4</v>
      </c>
      <c r="J263">
        <v>187.7</v>
      </c>
      <c r="K263">
        <v>149.4</v>
      </c>
      <c r="L263">
        <v>115.6</v>
      </c>
      <c r="M263">
        <v>157.9</v>
      </c>
      <c r="N263">
        <v>140.12</v>
      </c>
      <c r="O263">
        <v>161.80000000000001</v>
      </c>
      <c r="P263">
        <v>156.6</v>
      </c>
      <c r="Q263">
        <v>180.6</v>
      </c>
      <c r="R263">
        <v>152.30000000000001</v>
      </c>
      <c r="S263">
        <v>142.9</v>
      </c>
      <c r="T263">
        <v>150.9</v>
      </c>
      <c r="U263">
        <v>139.30000000000001</v>
      </c>
      <c r="V263">
        <v>143.30000000000001</v>
      </c>
      <c r="W263">
        <v>147.5</v>
      </c>
      <c r="X263">
        <v>153.5</v>
      </c>
      <c r="Y263">
        <v>136.30000000000001</v>
      </c>
      <c r="Z263">
        <v>146.69999999999999</v>
      </c>
      <c r="AA263">
        <v>157.80000000000001</v>
      </c>
      <c r="AB263">
        <v>151.80000000000001</v>
      </c>
      <c r="AC263">
        <v>147.5</v>
      </c>
      <c r="AD263">
        <v>153.30000000000001</v>
      </c>
      <c r="AE263">
        <f t="shared" si="24"/>
        <v>1994.42</v>
      </c>
      <c r="AF263">
        <f t="shared" si="25"/>
        <v>446.1</v>
      </c>
      <c r="AG263">
        <f t="shared" si="26"/>
        <v>440.8</v>
      </c>
      <c r="AH263">
        <f t="shared" si="27"/>
        <v>305.3</v>
      </c>
      <c r="AI263" s="63">
        <f t="shared" si="28"/>
        <v>430.1</v>
      </c>
      <c r="AJ263" s="66">
        <f t="shared" si="29"/>
        <v>328.1</v>
      </c>
    </row>
    <row r="264" spans="1:36">
      <c r="A264" t="s">
        <v>33</v>
      </c>
      <c r="B264">
        <v>2020</v>
      </c>
      <c r="C264" t="s">
        <v>38</v>
      </c>
      <c r="D264">
        <v>147.69999999999999</v>
      </c>
      <c r="E264">
        <v>184.2</v>
      </c>
      <c r="F264">
        <v>156.69999999999999</v>
      </c>
      <c r="G264">
        <v>153</v>
      </c>
      <c r="H264">
        <v>136.30000000000001</v>
      </c>
      <c r="I264">
        <v>147.4</v>
      </c>
      <c r="J264">
        <v>187.7</v>
      </c>
      <c r="K264">
        <v>149.4</v>
      </c>
      <c r="L264">
        <v>115.6</v>
      </c>
      <c r="M264">
        <v>157.9</v>
      </c>
      <c r="N264">
        <v>140.12</v>
      </c>
      <c r="O264">
        <v>161.80000000000001</v>
      </c>
      <c r="P264">
        <v>156.6</v>
      </c>
      <c r="Q264">
        <v>180.6</v>
      </c>
      <c r="R264">
        <v>152.30000000000001</v>
      </c>
      <c r="S264">
        <v>142.9</v>
      </c>
      <c r="T264">
        <v>150.9</v>
      </c>
      <c r="U264">
        <v>139.30000000000001</v>
      </c>
      <c r="V264">
        <v>143.30000000000001</v>
      </c>
      <c r="W264">
        <v>147.5</v>
      </c>
      <c r="X264">
        <v>153.5</v>
      </c>
      <c r="Y264">
        <v>136.30000000000001</v>
      </c>
      <c r="Z264">
        <v>146.69999999999999</v>
      </c>
      <c r="AA264">
        <v>157.80000000000001</v>
      </c>
      <c r="AB264">
        <v>151.80000000000001</v>
      </c>
      <c r="AC264">
        <v>147.5</v>
      </c>
      <c r="AD264">
        <v>153.30000000000001</v>
      </c>
      <c r="AE264">
        <f t="shared" si="24"/>
        <v>1994.42</v>
      </c>
      <c r="AF264">
        <f t="shared" si="25"/>
        <v>446.1</v>
      </c>
      <c r="AG264">
        <f t="shared" si="26"/>
        <v>440.8</v>
      </c>
      <c r="AH264">
        <f t="shared" si="27"/>
        <v>305.3</v>
      </c>
      <c r="AI264" s="63">
        <f t="shared" si="28"/>
        <v>430.1</v>
      </c>
      <c r="AJ264" s="66">
        <f t="shared" si="29"/>
        <v>328.1</v>
      </c>
    </row>
    <row r="265" spans="1:36">
      <c r="A265" t="s">
        <v>34</v>
      </c>
      <c r="B265">
        <v>2020</v>
      </c>
      <c r="C265" t="s">
        <v>38</v>
      </c>
      <c r="D265">
        <v>147.69999999999999</v>
      </c>
      <c r="E265">
        <v>184.2</v>
      </c>
      <c r="F265">
        <v>156.69999999999999</v>
      </c>
      <c r="G265">
        <v>153</v>
      </c>
      <c r="H265">
        <v>136.30000000000001</v>
      </c>
      <c r="I265">
        <v>147.4</v>
      </c>
      <c r="J265">
        <v>187.7</v>
      </c>
      <c r="K265">
        <v>149.4</v>
      </c>
      <c r="L265">
        <v>115.6</v>
      </c>
      <c r="M265">
        <v>157.9</v>
      </c>
      <c r="N265">
        <v>140.12</v>
      </c>
      <c r="O265">
        <v>161.80000000000001</v>
      </c>
      <c r="P265">
        <v>156.6</v>
      </c>
      <c r="Q265">
        <v>180.6</v>
      </c>
      <c r="R265">
        <v>152.30000000000001</v>
      </c>
      <c r="S265">
        <v>142.9</v>
      </c>
      <c r="T265">
        <v>150.9</v>
      </c>
      <c r="U265">
        <v>139.30000000000001</v>
      </c>
      <c r="V265">
        <v>143.30000000000001</v>
      </c>
      <c r="W265">
        <v>147.5</v>
      </c>
      <c r="X265">
        <v>153.5</v>
      </c>
      <c r="Y265">
        <v>136.30000000000001</v>
      </c>
      <c r="Z265">
        <v>146.69999999999999</v>
      </c>
      <c r="AA265">
        <v>157.80000000000001</v>
      </c>
      <c r="AB265">
        <v>151.80000000000001</v>
      </c>
      <c r="AC265">
        <v>147.5</v>
      </c>
      <c r="AD265">
        <v>153.30000000000001</v>
      </c>
      <c r="AE265">
        <f t="shared" si="24"/>
        <v>1994.42</v>
      </c>
      <c r="AF265">
        <f t="shared" si="25"/>
        <v>446.1</v>
      </c>
      <c r="AG265">
        <f t="shared" si="26"/>
        <v>440.8</v>
      </c>
      <c r="AH265">
        <f t="shared" si="27"/>
        <v>305.3</v>
      </c>
      <c r="AI265" s="63">
        <f t="shared" si="28"/>
        <v>430.1</v>
      </c>
      <c r="AJ265" s="66">
        <f t="shared" si="29"/>
        <v>328.1</v>
      </c>
    </row>
    <row r="266" spans="1:36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154.69999999999999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>
        <f t="shared" si="24"/>
        <v>1951.0000000000002</v>
      </c>
      <c r="AF266">
        <f t="shared" si="25"/>
        <v>458.79999999999995</v>
      </c>
      <c r="AG266">
        <f t="shared" si="26"/>
        <v>456.40000000000003</v>
      </c>
      <c r="AH266">
        <f t="shared" si="27"/>
        <v>309.39999999999998</v>
      </c>
      <c r="AI266" s="63">
        <f t="shared" si="28"/>
        <v>451.3</v>
      </c>
      <c r="AJ266" s="66">
        <f t="shared" si="29"/>
        <v>334.1</v>
      </c>
    </row>
    <row r="267" spans="1:36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>
        <f t="shared" si="24"/>
        <v>1995</v>
      </c>
      <c r="AF267">
        <f t="shared" si="25"/>
        <v>432.9</v>
      </c>
      <c r="AG267">
        <f t="shared" si="26"/>
        <v>426.3</v>
      </c>
      <c r="AH267">
        <f t="shared" si="27"/>
        <v>300.29999999999995</v>
      </c>
      <c r="AI267" s="63">
        <f t="shared" si="28"/>
        <v>432.19999999999993</v>
      </c>
      <c r="AJ267" s="66">
        <f t="shared" si="29"/>
        <v>328.7</v>
      </c>
    </row>
    <row r="268" spans="1:36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>
        <f t="shared" si="24"/>
        <v>1966.8000000000002</v>
      </c>
      <c r="AF268">
        <f t="shared" si="25"/>
        <v>448.29999999999995</v>
      </c>
      <c r="AG268">
        <f t="shared" si="26"/>
        <v>439.7</v>
      </c>
      <c r="AH268">
        <f t="shared" si="27"/>
        <v>306</v>
      </c>
      <c r="AI268" s="63">
        <f t="shared" si="28"/>
        <v>443</v>
      </c>
      <c r="AJ268" s="66">
        <f t="shared" si="29"/>
        <v>330.5</v>
      </c>
    </row>
    <row r="269" spans="1:36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154.69999999999999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 t="shared" si="24"/>
        <v>1951.0000000000002</v>
      </c>
      <c r="AF269">
        <f t="shared" si="25"/>
        <v>458.79999999999995</v>
      </c>
      <c r="AG269">
        <f t="shared" si="26"/>
        <v>456.40000000000003</v>
      </c>
      <c r="AH269">
        <f t="shared" si="27"/>
        <v>309.39999999999998</v>
      </c>
      <c r="AI269" s="63">
        <f t="shared" si="28"/>
        <v>451.3</v>
      </c>
      <c r="AJ269" s="66">
        <f t="shared" si="29"/>
        <v>334.1</v>
      </c>
    </row>
    <row r="270" spans="1:36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 t="shared" si="24"/>
        <v>1995</v>
      </c>
      <c r="AF270">
        <f t="shared" si="25"/>
        <v>432.9</v>
      </c>
      <c r="AG270">
        <f t="shared" si="26"/>
        <v>426.3</v>
      </c>
      <c r="AH270">
        <f t="shared" si="27"/>
        <v>300.29999999999995</v>
      </c>
      <c r="AI270" s="63">
        <f t="shared" si="28"/>
        <v>432.19999999999993</v>
      </c>
      <c r="AJ270" s="66">
        <f t="shared" si="29"/>
        <v>328.7</v>
      </c>
    </row>
    <row r="271" spans="1:36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 t="shared" si="24"/>
        <v>1966.8000000000002</v>
      </c>
      <c r="AF271">
        <f t="shared" si="25"/>
        <v>448.29999999999995</v>
      </c>
      <c r="AG271">
        <f t="shared" si="26"/>
        <v>439.7</v>
      </c>
      <c r="AH271">
        <f t="shared" si="27"/>
        <v>306</v>
      </c>
      <c r="AI271" s="63">
        <f t="shared" si="28"/>
        <v>443</v>
      </c>
      <c r="AJ271" s="66">
        <f t="shared" si="29"/>
        <v>330.5</v>
      </c>
    </row>
    <row r="272" spans="1:36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155.5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>
        <f t="shared" si="24"/>
        <v>1978.6000000000001</v>
      </c>
      <c r="AF272">
        <f t="shared" si="25"/>
        <v>458.7</v>
      </c>
      <c r="AG272">
        <f t="shared" si="26"/>
        <v>458.49999999999994</v>
      </c>
      <c r="AH272">
        <f t="shared" si="27"/>
        <v>312.39999999999998</v>
      </c>
      <c r="AI272" s="63">
        <f t="shared" si="28"/>
        <v>453.20000000000005</v>
      </c>
      <c r="AJ272" s="66">
        <f t="shared" si="29"/>
        <v>333.9</v>
      </c>
    </row>
    <row r="273" spans="1:36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>
        <f t="shared" si="24"/>
        <v>2024.9</v>
      </c>
      <c r="AF273">
        <f t="shared" si="25"/>
        <v>433</v>
      </c>
      <c r="AG273">
        <f t="shared" si="26"/>
        <v>430.59999999999997</v>
      </c>
      <c r="AH273">
        <f t="shared" si="27"/>
        <v>303.89999999999998</v>
      </c>
      <c r="AI273" s="63">
        <f t="shared" si="28"/>
        <v>438.3</v>
      </c>
      <c r="AJ273" s="66">
        <f t="shared" si="29"/>
        <v>332</v>
      </c>
    </row>
    <row r="274" spans="1:36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>
        <f t="shared" si="24"/>
        <v>1995.2000000000003</v>
      </c>
      <c r="AF274">
        <f t="shared" si="25"/>
        <v>448.2</v>
      </c>
      <c r="AG274">
        <f t="shared" si="26"/>
        <v>443</v>
      </c>
      <c r="AH274">
        <f t="shared" si="27"/>
        <v>309.3</v>
      </c>
      <c r="AI274" s="63">
        <f t="shared" si="28"/>
        <v>446.9</v>
      </c>
      <c r="AJ274" s="66">
        <f t="shared" si="29"/>
        <v>331.6</v>
      </c>
    </row>
    <row r="275" spans="1:36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156.30000000000001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>
        <f t="shared" si="24"/>
        <v>1987.4000000000003</v>
      </c>
      <c r="AF275">
        <f t="shared" si="25"/>
        <v>459.9</v>
      </c>
      <c r="AG275">
        <f t="shared" si="26"/>
        <v>458.5</v>
      </c>
      <c r="AH275">
        <f t="shared" si="27"/>
        <v>316.5</v>
      </c>
      <c r="AI275" s="63">
        <f t="shared" si="28"/>
        <v>454.30000000000007</v>
      </c>
      <c r="AJ275" s="66">
        <f t="shared" si="29"/>
        <v>336.6</v>
      </c>
    </row>
    <row r="276" spans="1:36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>
        <f t="shared" si="24"/>
        <v>2041.6000000000001</v>
      </c>
      <c r="AF276">
        <f t="shared" si="25"/>
        <v>434.6</v>
      </c>
      <c r="AG276">
        <f t="shared" si="26"/>
        <v>431.8</v>
      </c>
      <c r="AH276">
        <f t="shared" si="27"/>
        <v>309.8</v>
      </c>
      <c r="AI276" s="63">
        <f t="shared" si="28"/>
        <v>438.9</v>
      </c>
      <c r="AJ276" s="66">
        <f t="shared" si="29"/>
        <v>334.7</v>
      </c>
    </row>
    <row r="277" spans="1:36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>
        <f t="shared" si="24"/>
        <v>2007</v>
      </c>
      <c r="AF277">
        <f t="shared" si="25"/>
        <v>449.70000000000005</v>
      </c>
      <c r="AG277">
        <f t="shared" si="26"/>
        <v>443.70000000000005</v>
      </c>
      <c r="AH277">
        <f t="shared" si="27"/>
        <v>314</v>
      </c>
      <c r="AI277" s="63">
        <f t="shared" si="28"/>
        <v>447.90000000000003</v>
      </c>
      <c r="AJ277" s="66">
        <f t="shared" si="29"/>
        <v>334.4</v>
      </c>
    </row>
    <row r="278" spans="1:36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156.5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>
        <f t="shared" si="24"/>
        <v>2030.8999999999996</v>
      </c>
      <c r="AF278">
        <f t="shared" si="25"/>
        <v>461.29999999999995</v>
      </c>
      <c r="AG278">
        <f t="shared" si="26"/>
        <v>461.29999999999995</v>
      </c>
      <c r="AH278">
        <f t="shared" si="27"/>
        <v>315.7</v>
      </c>
      <c r="AI278" s="63">
        <f t="shared" si="28"/>
        <v>455.3</v>
      </c>
      <c r="AJ278" s="66">
        <f t="shared" si="29"/>
        <v>337</v>
      </c>
    </row>
    <row r="279" spans="1:36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>
        <f t="shared" si="24"/>
        <v>2080.2000000000003</v>
      </c>
      <c r="AF279">
        <f t="shared" si="25"/>
        <v>434.90000000000003</v>
      </c>
      <c r="AG279">
        <f t="shared" si="26"/>
        <v>433.1</v>
      </c>
      <c r="AH279">
        <f t="shared" si="27"/>
        <v>309.10000000000002</v>
      </c>
      <c r="AI279" s="63">
        <f t="shared" si="28"/>
        <v>438.70000000000005</v>
      </c>
      <c r="AJ279" s="66">
        <f t="shared" si="29"/>
        <v>334.9</v>
      </c>
    </row>
    <row r="280" spans="1:36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>
        <f t="shared" si="24"/>
        <v>2048.6000000000004</v>
      </c>
      <c r="AF280">
        <f t="shared" si="25"/>
        <v>450.59999999999997</v>
      </c>
      <c r="AG280">
        <f t="shared" si="26"/>
        <v>445.6</v>
      </c>
      <c r="AH280">
        <f t="shared" si="27"/>
        <v>313.3</v>
      </c>
      <c r="AI280" s="63">
        <f t="shared" si="28"/>
        <v>448.3</v>
      </c>
      <c r="AJ280" s="66">
        <f t="shared" si="29"/>
        <v>334.70000000000005</v>
      </c>
    </row>
    <row r="281" spans="1:36">
      <c r="A281" t="s">
        <v>30</v>
      </c>
      <c r="B281">
        <v>2020</v>
      </c>
      <c r="C281" t="s">
        <v>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158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>
        <f t="shared" si="24"/>
        <v>2082.3999999999996</v>
      </c>
      <c r="AF281">
        <f t="shared" si="25"/>
        <v>462.8</v>
      </c>
      <c r="AG281">
        <f t="shared" si="26"/>
        <v>461.29999999999995</v>
      </c>
      <c r="AH281">
        <f t="shared" si="27"/>
        <v>316.60000000000002</v>
      </c>
      <c r="AI281" s="63">
        <f t="shared" si="28"/>
        <v>458.3</v>
      </c>
      <c r="AJ281" s="66">
        <f t="shared" si="29"/>
        <v>337.9</v>
      </c>
    </row>
    <row r="282" spans="1:36">
      <c r="A282" t="s">
        <v>33</v>
      </c>
      <c r="B282">
        <v>2020</v>
      </c>
      <c r="C282" t="s">
        <v>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>
        <f t="shared" si="24"/>
        <v>2120.7000000000003</v>
      </c>
      <c r="AF282">
        <f t="shared" si="25"/>
        <v>436.3</v>
      </c>
      <c r="AG282">
        <f t="shared" si="26"/>
        <v>436</v>
      </c>
      <c r="AH282">
        <f t="shared" si="27"/>
        <v>309.89999999999998</v>
      </c>
      <c r="AI282" s="63">
        <f t="shared" si="28"/>
        <v>440.4</v>
      </c>
      <c r="AJ282" s="66">
        <f t="shared" si="29"/>
        <v>335.4</v>
      </c>
    </row>
    <row r="283" spans="1:36">
      <c r="A283" t="s">
        <v>34</v>
      </c>
      <c r="B283">
        <v>2020</v>
      </c>
      <c r="C283" t="s">
        <v>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>
        <f t="shared" si="24"/>
        <v>2095.6</v>
      </c>
      <c r="AF283">
        <f t="shared" si="25"/>
        <v>452.00000000000006</v>
      </c>
      <c r="AG283">
        <f t="shared" si="26"/>
        <v>447.4</v>
      </c>
      <c r="AH283">
        <f t="shared" si="27"/>
        <v>314.10000000000002</v>
      </c>
      <c r="AI283" s="63">
        <f t="shared" si="28"/>
        <v>450.8</v>
      </c>
      <c r="AJ283" s="66">
        <f t="shared" si="29"/>
        <v>335.5</v>
      </c>
    </row>
    <row r="284" spans="1:36">
      <c r="A284" t="s">
        <v>30</v>
      </c>
      <c r="B284">
        <v>2020</v>
      </c>
      <c r="C284" t="s">
        <v>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158.4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>
        <f t="shared" si="24"/>
        <v>2100.5</v>
      </c>
      <c r="AF284">
        <f t="shared" si="25"/>
        <v>464.90000000000003</v>
      </c>
      <c r="AG284">
        <f t="shared" si="26"/>
        <v>463.20000000000005</v>
      </c>
      <c r="AH284">
        <f t="shared" si="27"/>
        <v>318.2</v>
      </c>
      <c r="AI284" s="63">
        <f t="shared" si="28"/>
        <v>460.5</v>
      </c>
      <c r="AJ284" s="66">
        <f t="shared" si="29"/>
        <v>338.79999999999995</v>
      </c>
    </row>
    <row r="285" spans="1:36">
      <c r="A285" t="s">
        <v>33</v>
      </c>
      <c r="B285">
        <v>2020</v>
      </c>
      <c r="C285" t="s">
        <v>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>
        <f t="shared" si="24"/>
        <v>2125.4000000000005</v>
      </c>
      <c r="AF285">
        <f t="shared" si="25"/>
        <v>438.20000000000005</v>
      </c>
      <c r="AG285">
        <f t="shared" si="26"/>
        <v>436.7</v>
      </c>
      <c r="AH285">
        <f t="shared" si="27"/>
        <v>310.8</v>
      </c>
      <c r="AI285" s="63">
        <f t="shared" si="28"/>
        <v>441.8</v>
      </c>
      <c r="AJ285" s="66">
        <f t="shared" si="29"/>
        <v>337.1</v>
      </c>
    </row>
    <row r="286" spans="1:36">
      <c r="A286" t="s">
        <v>34</v>
      </c>
      <c r="B286">
        <v>2020</v>
      </c>
      <c r="C286" t="s">
        <v>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>
        <f t="shared" si="24"/>
        <v>2109.1</v>
      </c>
      <c r="AF286">
        <f t="shared" si="25"/>
        <v>454</v>
      </c>
      <c r="AG286">
        <f t="shared" si="26"/>
        <v>448.6</v>
      </c>
      <c r="AH286">
        <f t="shared" si="27"/>
        <v>315.39999999999998</v>
      </c>
      <c r="AI286" s="63">
        <f t="shared" si="28"/>
        <v>452.7</v>
      </c>
      <c r="AJ286" s="66">
        <f t="shared" si="29"/>
        <v>336.6</v>
      </c>
    </row>
    <row r="287" spans="1:36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157.69999999999999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>
        <f t="shared" si="24"/>
        <v>2065.6999999999998</v>
      </c>
      <c r="AF287">
        <f t="shared" si="25"/>
        <v>466.7</v>
      </c>
      <c r="AG287">
        <f t="shared" si="26"/>
        <v>466.1</v>
      </c>
      <c r="AH287">
        <f t="shared" si="27"/>
        <v>318.7</v>
      </c>
      <c r="AI287" s="63">
        <f t="shared" si="28"/>
        <v>462.5</v>
      </c>
      <c r="AJ287" s="66">
        <f t="shared" si="29"/>
        <v>340.5</v>
      </c>
    </row>
    <row r="288" spans="1:36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>
        <f t="shared" si="24"/>
        <v>2097</v>
      </c>
      <c r="AF288">
        <f t="shared" si="25"/>
        <v>440</v>
      </c>
      <c r="AG288">
        <f t="shared" si="26"/>
        <v>438.4</v>
      </c>
      <c r="AH288">
        <f t="shared" si="27"/>
        <v>311.79999999999995</v>
      </c>
      <c r="AI288" s="63">
        <f t="shared" si="28"/>
        <v>446.3</v>
      </c>
      <c r="AJ288" s="66">
        <f t="shared" si="29"/>
        <v>339.4</v>
      </c>
    </row>
    <row r="289" spans="1:36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>
        <f t="shared" si="24"/>
        <v>2076.5</v>
      </c>
      <c r="AF289">
        <f t="shared" si="25"/>
        <v>455.8</v>
      </c>
      <c r="AG289">
        <f t="shared" si="26"/>
        <v>450.70000000000005</v>
      </c>
      <c r="AH289">
        <f t="shared" si="27"/>
        <v>316.10000000000002</v>
      </c>
      <c r="AI289" s="63">
        <f t="shared" si="28"/>
        <v>455.6</v>
      </c>
      <c r="AJ289" s="66">
        <f t="shared" si="29"/>
        <v>338.4</v>
      </c>
    </row>
    <row r="290" spans="1:36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159.80000000000001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>
        <f t="shared" si="24"/>
        <v>2025.3</v>
      </c>
      <c r="AF290">
        <f t="shared" si="25"/>
        <v>471.4</v>
      </c>
      <c r="AG290">
        <f t="shared" si="26"/>
        <v>470.79999999999995</v>
      </c>
      <c r="AH290">
        <f t="shared" si="27"/>
        <v>319.5</v>
      </c>
      <c r="AI290" s="63">
        <f t="shared" si="28"/>
        <v>469.00000000000006</v>
      </c>
      <c r="AJ290" s="66">
        <f t="shared" si="29"/>
        <v>343.7</v>
      </c>
    </row>
    <row r="291" spans="1:36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>
        <f t="shared" si="24"/>
        <v>2066.0000000000005</v>
      </c>
      <c r="AF291">
        <f t="shared" si="25"/>
        <v>444.2</v>
      </c>
      <c r="AG291">
        <f t="shared" si="26"/>
        <v>444.40000000000003</v>
      </c>
      <c r="AH291">
        <f t="shared" si="27"/>
        <v>313</v>
      </c>
      <c r="AI291" s="63">
        <f t="shared" si="28"/>
        <v>455.4</v>
      </c>
      <c r="AJ291" s="66">
        <f t="shared" si="29"/>
        <v>342.6</v>
      </c>
    </row>
    <row r="292" spans="1:36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>
        <f t="shared" si="24"/>
        <v>2039.3</v>
      </c>
      <c r="AF292">
        <f t="shared" si="25"/>
        <v>460.40000000000003</v>
      </c>
      <c r="AG292">
        <f t="shared" si="26"/>
        <v>456.1</v>
      </c>
      <c r="AH292">
        <f t="shared" si="27"/>
        <v>317.10000000000002</v>
      </c>
      <c r="AI292" s="63">
        <f t="shared" si="28"/>
        <v>463.1</v>
      </c>
      <c r="AJ292" s="66">
        <f t="shared" si="29"/>
        <v>341.70000000000005</v>
      </c>
    </row>
    <row r="293" spans="1:36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>
        <v>159.9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>
        <f t="shared" si="24"/>
        <v>2025.7000000000003</v>
      </c>
      <c r="AF293">
        <f t="shared" si="25"/>
        <v>472.9</v>
      </c>
      <c r="AG293">
        <f t="shared" si="26"/>
        <v>472.90000000000003</v>
      </c>
      <c r="AH293">
        <f t="shared" si="27"/>
        <v>317.7</v>
      </c>
      <c r="AI293" s="63">
        <f t="shared" si="28"/>
        <v>470.7</v>
      </c>
      <c r="AJ293" s="66">
        <f t="shared" si="29"/>
        <v>343.4</v>
      </c>
    </row>
    <row r="294" spans="1:36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>
        <f t="shared" si="24"/>
        <v>2064.5</v>
      </c>
      <c r="AF294">
        <f t="shared" si="25"/>
        <v>446.4</v>
      </c>
      <c r="AG294">
        <f t="shared" si="26"/>
        <v>447.9</v>
      </c>
      <c r="AH294">
        <f t="shared" si="27"/>
        <v>311.8</v>
      </c>
      <c r="AI294" s="63">
        <f t="shared" si="28"/>
        <v>461.90000000000003</v>
      </c>
      <c r="AJ294" s="66">
        <f t="shared" si="29"/>
        <v>343.5</v>
      </c>
    </row>
    <row r="295" spans="1:36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>
        <f t="shared" si="24"/>
        <v>2039.4</v>
      </c>
      <c r="AF295">
        <f t="shared" si="25"/>
        <v>462.1</v>
      </c>
      <c r="AG295">
        <f t="shared" si="26"/>
        <v>459</v>
      </c>
      <c r="AH295">
        <f t="shared" si="27"/>
        <v>315.5</v>
      </c>
      <c r="AI295" s="63">
        <f t="shared" si="28"/>
        <v>466.59999999999997</v>
      </c>
      <c r="AJ295" s="66">
        <f t="shared" si="29"/>
        <v>341.9</v>
      </c>
    </row>
    <row r="296" spans="1:36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>
        <v>161.4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>
        <f t="shared" si="24"/>
        <v>2049.5</v>
      </c>
      <c r="AF296">
        <f t="shared" si="25"/>
        <v>475.69999999999993</v>
      </c>
      <c r="AG296">
        <f t="shared" si="26"/>
        <v>474.4</v>
      </c>
      <c r="AH296">
        <f t="shared" si="27"/>
        <v>319.89999999999998</v>
      </c>
      <c r="AI296" s="63">
        <f t="shared" si="28"/>
        <v>472.9</v>
      </c>
      <c r="AJ296" s="66">
        <f t="shared" si="29"/>
        <v>344.8</v>
      </c>
    </row>
    <row r="297" spans="1:36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>
        <f t="shared" si="24"/>
        <v>2089.6</v>
      </c>
      <c r="AF297">
        <f t="shared" si="25"/>
        <v>448.6</v>
      </c>
      <c r="AG297">
        <f t="shared" si="26"/>
        <v>448.79999999999995</v>
      </c>
      <c r="AH297">
        <f t="shared" si="27"/>
        <v>314.10000000000002</v>
      </c>
      <c r="AI297" s="63">
        <f t="shared" si="28"/>
        <v>463.9</v>
      </c>
      <c r="AJ297" s="66">
        <f t="shared" si="29"/>
        <v>344.9</v>
      </c>
    </row>
    <row r="298" spans="1:36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>
        <f t="shared" si="24"/>
        <v>2064.1</v>
      </c>
      <c r="AF298">
        <f t="shared" si="25"/>
        <v>464.6</v>
      </c>
      <c r="AG298">
        <f t="shared" si="26"/>
        <v>460.09999999999997</v>
      </c>
      <c r="AH298">
        <f t="shared" si="27"/>
        <v>317.70000000000005</v>
      </c>
      <c r="AI298" s="63">
        <f t="shared" si="28"/>
        <v>468.8</v>
      </c>
      <c r="AJ298" s="66">
        <f t="shared" si="29"/>
        <v>343.20000000000005</v>
      </c>
    </row>
    <row r="299" spans="1:36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161.6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>
        <f t="shared" si="24"/>
        <v>2095.2999999999997</v>
      </c>
      <c r="AF299">
        <f t="shared" si="25"/>
        <v>490.4</v>
      </c>
      <c r="AG299">
        <f t="shared" si="26"/>
        <v>480.79999999999995</v>
      </c>
      <c r="AH299">
        <f t="shared" si="27"/>
        <v>328.4</v>
      </c>
      <c r="AI299" s="63">
        <f t="shared" si="28"/>
        <v>482.09999999999997</v>
      </c>
      <c r="AJ299" s="66">
        <f t="shared" si="29"/>
        <v>350.7</v>
      </c>
    </row>
    <row r="300" spans="1:36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>
        <f t="shared" si="24"/>
        <v>2124.6999999999998</v>
      </c>
      <c r="AF300">
        <f t="shared" si="25"/>
        <v>450.79999999999995</v>
      </c>
      <c r="AG300">
        <f t="shared" si="26"/>
        <v>454.20000000000005</v>
      </c>
      <c r="AH300">
        <f t="shared" si="27"/>
        <v>317.89999999999998</v>
      </c>
      <c r="AI300" s="63">
        <f t="shared" si="28"/>
        <v>467.20000000000005</v>
      </c>
      <c r="AJ300" s="66">
        <f t="shared" si="29"/>
        <v>350.5</v>
      </c>
    </row>
    <row r="301" spans="1:36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>
        <f t="shared" si="24"/>
        <v>2105.6999999999998</v>
      </c>
      <c r="AF301">
        <f t="shared" si="25"/>
        <v>474.29999999999995</v>
      </c>
      <c r="AG301">
        <f t="shared" si="26"/>
        <v>465.90000000000003</v>
      </c>
      <c r="AH301">
        <f t="shared" si="27"/>
        <v>324.39999999999998</v>
      </c>
      <c r="AI301" s="63">
        <f t="shared" si="28"/>
        <v>475.7</v>
      </c>
      <c r="AJ301" s="66">
        <f t="shared" si="29"/>
        <v>348.70000000000005</v>
      </c>
    </row>
    <row r="302" spans="1:36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160.5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>
        <f t="shared" si="24"/>
        <v>2122.6</v>
      </c>
      <c r="AF302">
        <f t="shared" si="25"/>
        <v>489.80000000000007</v>
      </c>
      <c r="AG302">
        <f t="shared" si="26"/>
        <v>481.4</v>
      </c>
      <c r="AH302">
        <f t="shared" si="27"/>
        <v>329.1</v>
      </c>
      <c r="AI302" s="63">
        <f t="shared" si="28"/>
        <v>481.8</v>
      </c>
      <c r="AJ302" s="66">
        <f t="shared" si="29"/>
        <v>350.6</v>
      </c>
    </row>
    <row r="303" spans="1:36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>
        <f t="shared" si="24"/>
        <v>2154.1999999999998</v>
      </c>
      <c r="AF303">
        <f t="shared" si="25"/>
        <v>452.6</v>
      </c>
      <c r="AG303">
        <f t="shared" si="26"/>
        <v>456.3</v>
      </c>
      <c r="AH303">
        <f t="shared" si="27"/>
        <v>318.8</v>
      </c>
      <c r="AI303" s="63">
        <f t="shared" si="28"/>
        <v>466.40000000000003</v>
      </c>
      <c r="AJ303" s="66">
        <f t="shared" si="29"/>
        <v>349</v>
      </c>
    </row>
    <row r="304" spans="1:36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>
        <f t="shared" si="24"/>
        <v>2133.9</v>
      </c>
      <c r="AF304">
        <f t="shared" si="25"/>
        <v>474.7</v>
      </c>
      <c r="AG304">
        <f t="shared" si="26"/>
        <v>467.29999999999995</v>
      </c>
      <c r="AH304">
        <f t="shared" si="27"/>
        <v>325.10000000000002</v>
      </c>
      <c r="AI304" s="63">
        <f t="shared" si="28"/>
        <v>475.1</v>
      </c>
      <c r="AJ304" s="66">
        <f t="shared" si="29"/>
        <v>348.4</v>
      </c>
    </row>
    <row r="305" spans="1:36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161.5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>
        <f t="shared" si="24"/>
        <v>2132.4</v>
      </c>
      <c r="AF305">
        <f t="shared" si="25"/>
        <v>492.40000000000003</v>
      </c>
      <c r="AG305">
        <f t="shared" si="26"/>
        <v>484.99999999999994</v>
      </c>
      <c r="AH305">
        <f t="shared" si="27"/>
        <v>330.8</v>
      </c>
      <c r="AI305" s="63">
        <f t="shared" si="28"/>
        <v>484.3</v>
      </c>
      <c r="AJ305" s="66">
        <f t="shared" si="29"/>
        <v>352.5</v>
      </c>
    </row>
    <row r="306" spans="1:36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>
        <f t="shared" si="24"/>
        <v>2171.8000000000002</v>
      </c>
      <c r="AF306">
        <f t="shared" si="25"/>
        <v>455.3</v>
      </c>
      <c r="AG306">
        <f t="shared" si="26"/>
        <v>461</v>
      </c>
      <c r="AH306">
        <f t="shared" si="27"/>
        <v>321.10000000000002</v>
      </c>
      <c r="AI306" s="63">
        <f t="shared" si="28"/>
        <v>469.9</v>
      </c>
      <c r="AJ306" s="66">
        <f t="shared" si="29"/>
        <v>350.5</v>
      </c>
    </row>
    <row r="307" spans="1:36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>
        <f t="shared" si="24"/>
        <v>2147</v>
      </c>
      <c r="AF307">
        <f t="shared" si="25"/>
        <v>477.29999999999995</v>
      </c>
      <c r="AG307">
        <f t="shared" si="26"/>
        <v>471.59999999999997</v>
      </c>
      <c r="AH307">
        <f t="shared" si="27"/>
        <v>327.10000000000002</v>
      </c>
      <c r="AI307" s="63">
        <f t="shared" si="28"/>
        <v>478</v>
      </c>
      <c r="AJ307" s="66">
        <f t="shared" si="29"/>
        <v>350.2</v>
      </c>
    </row>
    <row r="308" spans="1:36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162.1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>
        <f t="shared" si="24"/>
        <v>2130.8000000000002</v>
      </c>
      <c r="AF308">
        <f t="shared" si="25"/>
        <v>495.90000000000003</v>
      </c>
      <c r="AG308">
        <f t="shared" si="26"/>
        <v>486.29999999999995</v>
      </c>
      <c r="AH308">
        <f t="shared" si="27"/>
        <v>331.4</v>
      </c>
      <c r="AI308" s="63">
        <f t="shared" si="28"/>
        <v>486.1</v>
      </c>
      <c r="AJ308" s="66">
        <f t="shared" si="29"/>
        <v>353.5</v>
      </c>
    </row>
    <row r="309" spans="1:36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>
        <f t="shared" si="24"/>
        <v>2157.9</v>
      </c>
      <c r="AF309">
        <f t="shared" si="25"/>
        <v>460.7</v>
      </c>
      <c r="AG309">
        <f t="shared" si="26"/>
        <v>464.5</v>
      </c>
      <c r="AH309">
        <f t="shared" si="27"/>
        <v>322.39999999999998</v>
      </c>
      <c r="AI309" s="63">
        <f t="shared" si="28"/>
        <v>475.99999999999994</v>
      </c>
      <c r="AJ309" s="66">
        <f t="shared" si="29"/>
        <v>352.5</v>
      </c>
    </row>
    <row r="310" spans="1:36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>
        <f t="shared" si="24"/>
        <v>2142</v>
      </c>
      <c r="AF310">
        <f t="shared" si="25"/>
        <v>483</v>
      </c>
      <c r="AG310">
        <f t="shared" si="26"/>
        <v>475.4</v>
      </c>
      <c r="AH310">
        <f t="shared" si="27"/>
        <v>328.4</v>
      </c>
      <c r="AI310" s="63">
        <f t="shared" si="28"/>
        <v>482.2</v>
      </c>
      <c r="AJ310" s="66">
        <f t="shared" si="29"/>
        <v>352.1</v>
      </c>
    </row>
    <row r="311" spans="1:36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162.1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>
        <f t="shared" si="24"/>
        <v>2133.6</v>
      </c>
      <c r="AF311">
        <f t="shared" si="25"/>
        <v>498.4</v>
      </c>
      <c r="AG311">
        <f t="shared" si="26"/>
        <v>489</v>
      </c>
      <c r="AH311">
        <f t="shared" si="27"/>
        <v>332.1</v>
      </c>
      <c r="AI311" s="63">
        <f t="shared" si="28"/>
        <v>487.09999999999997</v>
      </c>
      <c r="AJ311" s="66">
        <f t="shared" si="29"/>
        <v>354.3</v>
      </c>
    </row>
    <row r="312" spans="1:36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>
        <f t="shared" si="24"/>
        <v>2157.9</v>
      </c>
      <c r="AF312">
        <f t="shared" si="25"/>
        <v>460.79999999999995</v>
      </c>
      <c r="AG312">
        <f t="shared" si="26"/>
        <v>464.70000000000005</v>
      </c>
      <c r="AH312">
        <f t="shared" si="27"/>
        <v>322.39999999999998</v>
      </c>
      <c r="AI312" s="63">
        <f t="shared" si="28"/>
        <v>476.2</v>
      </c>
      <c r="AJ312" s="66">
        <f t="shared" si="29"/>
        <v>352.5</v>
      </c>
    </row>
    <row r="313" spans="1:36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>
        <f t="shared" si="24"/>
        <v>2142</v>
      </c>
      <c r="AF313">
        <f t="shared" si="25"/>
        <v>483.2</v>
      </c>
      <c r="AG313">
        <f t="shared" si="26"/>
        <v>475.4</v>
      </c>
      <c r="AH313">
        <f t="shared" si="27"/>
        <v>328.4</v>
      </c>
      <c r="AI313" s="63">
        <f t="shared" si="28"/>
        <v>482.2</v>
      </c>
      <c r="AJ313" s="66">
        <f t="shared" si="29"/>
        <v>352.1</v>
      </c>
    </row>
    <row r="314" spans="1:36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163.6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>
        <f t="shared" si="24"/>
        <v>2164.1999999999998</v>
      </c>
      <c r="AF314">
        <f t="shared" si="25"/>
        <v>502.00000000000006</v>
      </c>
      <c r="AG314">
        <f t="shared" si="26"/>
        <v>491.7</v>
      </c>
      <c r="AH314">
        <f t="shared" si="27"/>
        <v>333.6</v>
      </c>
      <c r="AI314" s="63">
        <f t="shared" si="28"/>
        <v>491.1</v>
      </c>
      <c r="AJ314" s="66">
        <f t="shared" si="29"/>
        <v>355.9</v>
      </c>
    </row>
    <row r="315" spans="1:36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>
        <f t="shared" si="24"/>
        <v>2198.3999999999996</v>
      </c>
      <c r="AF315">
        <f t="shared" si="25"/>
        <v>463.50000000000006</v>
      </c>
      <c r="AG315">
        <f t="shared" si="26"/>
        <v>467.6</v>
      </c>
      <c r="AH315">
        <f t="shared" si="27"/>
        <v>323.8</v>
      </c>
      <c r="AI315" s="63">
        <f t="shared" si="28"/>
        <v>480.09999999999997</v>
      </c>
      <c r="AJ315" s="66">
        <f t="shared" si="29"/>
        <v>354</v>
      </c>
    </row>
    <row r="316" spans="1:36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>
        <f t="shared" si="24"/>
        <v>2175.5</v>
      </c>
      <c r="AF316">
        <f t="shared" si="25"/>
        <v>486.3</v>
      </c>
      <c r="AG316">
        <f t="shared" si="26"/>
        <v>478.20000000000005</v>
      </c>
      <c r="AH316">
        <f t="shared" si="27"/>
        <v>329.9</v>
      </c>
      <c r="AI316" s="63">
        <f t="shared" si="28"/>
        <v>486.19999999999993</v>
      </c>
      <c r="AJ316" s="66">
        <f t="shared" si="29"/>
        <v>353.7</v>
      </c>
    </row>
    <row r="317" spans="1:36">
      <c r="A317" t="s">
        <v>30</v>
      </c>
      <c r="B317">
        <v>2021</v>
      </c>
      <c r="C317" t="s">
        <v>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164.2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>
        <f t="shared" si="24"/>
        <v>2182</v>
      </c>
      <c r="AF317">
        <f t="shared" si="25"/>
        <v>506.2</v>
      </c>
      <c r="AG317">
        <f t="shared" si="26"/>
        <v>492.00000000000006</v>
      </c>
      <c r="AH317">
        <f t="shared" si="27"/>
        <v>335.8</v>
      </c>
      <c r="AI317" s="63">
        <f t="shared" si="28"/>
        <v>492.4</v>
      </c>
      <c r="AJ317" s="66">
        <f t="shared" si="29"/>
        <v>356.6</v>
      </c>
    </row>
    <row r="318" spans="1:36">
      <c r="A318" t="s">
        <v>33</v>
      </c>
      <c r="B318">
        <v>2021</v>
      </c>
      <c r="C318" t="s">
        <v>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>
        <f t="shared" si="24"/>
        <v>2217.8999999999996</v>
      </c>
      <c r="AF318">
        <f t="shared" si="25"/>
        <v>467.3</v>
      </c>
      <c r="AG318">
        <f t="shared" si="26"/>
        <v>468.7</v>
      </c>
      <c r="AH318">
        <f t="shared" si="27"/>
        <v>326</v>
      </c>
      <c r="AI318" s="63">
        <f t="shared" si="28"/>
        <v>480.99999999999994</v>
      </c>
      <c r="AJ318" s="66">
        <f t="shared" si="29"/>
        <v>354.3</v>
      </c>
    </row>
    <row r="319" spans="1:36">
      <c r="A319" t="s">
        <v>34</v>
      </c>
      <c r="B319">
        <v>2021</v>
      </c>
      <c r="C319" t="s">
        <v>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>
        <f t="shared" si="24"/>
        <v>2194.1</v>
      </c>
      <c r="AF319">
        <f t="shared" si="25"/>
        <v>490.40000000000003</v>
      </c>
      <c r="AG319">
        <f t="shared" si="26"/>
        <v>478.90000000000003</v>
      </c>
      <c r="AH319">
        <f t="shared" si="27"/>
        <v>332.1</v>
      </c>
      <c r="AI319" s="63">
        <f t="shared" si="28"/>
        <v>487.40000000000003</v>
      </c>
      <c r="AJ319" s="66">
        <f t="shared" si="29"/>
        <v>354.3</v>
      </c>
    </row>
    <row r="320" spans="1:36">
      <c r="A320" t="s">
        <v>30</v>
      </c>
      <c r="B320">
        <v>2021</v>
      </c>
      <c r="C320" t="s">
        <v>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163.4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>
        <f t="shared" si="24"/>
        <v>2168.1999999999998</v>
      </c>
      <c r="AF320">
        <f t="shared" si="25"/>
        <v>510.3</v>
      </c>
      <c r="AG320">
        <f t="shared" si="26"/>
        <v>494.29999999999995</v>
      </c>
      <c r="AH320">
        <f t="shared" si="27"/>
        <v>336.8</v>
      </c>
      <c r="AI320" s="63">
        <f t="shared" si="28"/>
        <v>492.9</v>
      </c>
      <c r="AJ320" s="66">
        <f t="shared" si="29"/>
        <v>356.8</v>
      </c>
    </row>
    <row r="321" spans="1:36">
      <c r="A321" t="s">
        <v>33</v>
      </c>
      <c r="B321">
        <v>2021</v>
      </c>
      <c r="C321" t="s">
        <v>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>
        <f t="shared" si="24"/>
        <v>2206.2999999999997</v>
      </c>
      <c r="AF321">
        <f t="shared" si="25"/>
        <v>470.7</v>
      </c>
      <c r="AG321">
        <f t="shared" si="26"/>
        <v>470</v>
      </c>
      <c r="AH321">
        <f t="shared" si="27"/>
        <v>327.5</v>
      </c>
      <c r="AI321" s="63">
        <f t="shared" si="28"/>
        <v>481.1</v>
      </c>
      <c r="AJ321" s="66">
        <f t="shared" si="29"/>
        <v>354.6</v>
      </c>
    </row>
    <row r="322" spans="1:36">
      <c r="A322" t="s">
        <v>34</v>
      </c>
      <c r="B322">
        <v>2021</v>
      </c>
      <c r="C322" t="s">
        <v>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>
        <f t="shared" si="24"/>
        <v>2180.9</v>
      </c>
      <c r="AF322">
        <f t="shared" si="25"/>
        <v>494.2</v>
      </c>
      <c r="AG322">
        <f t="shared" si="26"/>
        <v>480.70000000000005</v>
      </c>
      <c r="AH322">
        <f t="shared" si="27"/>
        <v>333.2</v>
      </c>
      <c r="AI322" s="63">
        <f t="shared" si="28"/>
        <v>487.7</v>
      </c>
      <c r="AJ322" s="66">
        <f t="shared" si="29"/>
        <v>354.4</v>
      </c>
    </row>
    <row r="323" spans="1:36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164.5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>
        <f t="shared" ref="AE323:AE373" si="30">P323+O323+N323+M323+L323+K323+J323+I323+H323+G323+F323+E323+D323</f>
        <v>2153</v>
      </c>
      <c r="AF323">
        <f t="shared" ref="AF323:AF373" si="31">SUM(R323:T323)</f>
        <v>515.20000000000005</v>
      </c>
      <c r="AG323">
        <f t="shared" ref="AG323:AG373" si="32">SUM(Y323,AA323,Z323)</f>
        <v>495.6</v>
      </c>
      <c r="AH323">
        <f t="shared" ref="AH323:AH373" si="33">SUM(X323,AB323)</f>
        <v>337.9</v>
      </c>
      <c r="AI323" s="63">
        <f t="shared" ref="AI323:AI373" si="34">SUM(U323,V323,W323)</f>
        <v>495.20000000000005</v>
      </c>
      <c r="AJ323" s="66">
        <f t="shared" ref="AJ323:AJ373" si="35">SUM(AC323,Q323)</f>
        <v>357.29999999999995</v>
      </c>
    </row>
    <row r="324" spans="1:36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>
        <f t="shared" si="30"/>
        <v>2186.6999999999998</v>
      </c>
      <c r="AF324">
        <f t="shared" si="31"/>
        <v>475.4</v>
      </c>
      <c r="AG324">
        <f t="shared" si="32"/>
        <v>472.1</v>
      </c>
      <c r="AH324">
        <f t="shared" si="33"/>
        <v>328.9</v>
      </c>
      <c r="AI324" s="63">
        <f t="shared" si="34"/>
        <v>482.90000000000003</v>
      </c>
      <c r="AJ324" s="66">
        <f t="shared" si="35"/>
        <v>355</v>
      </c>
    </row>
    <row r="325" spans="1:36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>
        <f t="shared" si="30"/>
        <v>2164.1999999999998</v>
      </c>
      <c r="AF325">
        <f t="shared" si="31"/>
        <v>499.1</v>
      </c>
      <c r="AG325">
        <f t="shared" si="32"/>
        <v>482.4</v>
      </c>
      <c r="AH325">
        <f t="shared" si="33"/>
        <v>334.4</v>
      </c>
      <c r="AI325" s="63">
        <f t="shared" si="34"/>
        <v>489.79999999999995</v>
      </c>
      <c r="AJ325" s="66">
        <f t="shared" si="35"/>
        <v>354.9</v>
      </c>
    </row>
    <row r="326" spans="1:36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165.5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>
        <f t="shared" si="30"/>
        <v>2150.4</v>
      </c>
      <c r="AF326">
        <f t="shared" si="31"/>
        <v>518.79999999999995</v>
      </c>
      <c r="AG326">
        <f t="shared" si="32"/>
        <v>497</v>
      </c>
      <c r="AH326">
        <f t="shared" si="33"/>
        <v>339.8</v>
      </c>
      <c r="AI326" s="63">
        <f t="shared" si="34"/>
        <v>498.59999999999997</v>
      </c>
      <c r="AJ326" s="66">
        <f t="shared" si="35"/>
        <v>358.8</v>
      </c>
    </row>
    <row r="327" spans="1:36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>
        <f t="shared" si="30"/>
        <v>2183.5</v>
      </c>
      <c r="AF327">
        <f t="shared" si="31"/>
        <v>479.5</v>
      </c>
      <c r="AG327">
        <f t="shared" si="32"/>
        <v>474.6</v>
      </c>
      <c r="AH327">
        <f t="shared" si="33"/>
        <v>331.4</v>
      </c>
      <c r="AI327" s="63">
        <f t="shared" si="34"/>
        <v>485.9</v>
      </c>
      <c r="AJ327" s="66">
        <f t="shared" si="35"/>
        <v>355.9</v>
      </c>
    </row>
    <row r="328" spans="1:36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>
        <f t="shared" si="30"/>
        <v>2161.1999999999998</v>
      </c>
      <c r="AF328">
        <f t="shared" si="31"/>
        <v>502.80000000000007</v>
      </c>
      <c r="AG328">
        <f t="shared" si="32"/>
        <v>484.4</v>
      </c>
      <c r="AH328">
        <f t="shared" si="33"/>
        <v>336.6</v>
      </c>
      <c r="AI328" s="63">
        <f t="shared" si="34"/>
        <v>493</v>
      </c>
      <c r="AJ328" s="66">
        <f t="shared" si="35"/>
        <v>356.3</v>
      </c>
    </row>
    <row r="329" spans="1:36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165.3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>
        <f t="shared" si="30"/>
        <v>2179.1</v>
      </c>
      <c r="AF329">
        <f t="shared" si="31"/>
        <v>523.70000000000005</v>
      </c>
      <c r="AG329">
        <f t="shared" si="32"/>
        <v>499.20000000000005</v>
      </c>
      <c r="AH329">
        <f t="shared" si="33"/>
        <v>343.4</v>
      </c>
      <c r="AI329" s="63">
        <f t="shared" si="34"/>
        <v>500.70000000000005</v>
      </c>
      <c r="AJ329" s="66">
        <f t="shared" si="35"/>
        <v>360.6</v>
      </c>
    </row>
    <row r="330" spans="1:36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>
        <f t="shared" si="30"/>
        <v>2196.2999999999997</v>
      </c>
      <c r="AF330">
        <f t="shared" si="31"/>
        <v>484.6</v>
      </c>
      <c r="AG330">
        <f t="shared" si="32"/>
        <v>477.7</v>
      </c>
      <c r="AH330">
        <f t="shared" si="33"/>
        <v>335</v>
      </c>
      <c r="AI330" s="63">
        <f t="shared" si="34"/>
        <v>488.4</v>
      </c>
      <c r="AJ330" s="66">
        <f t="shared" si="35"/>
        <v>358.1</v>
      </c>
    </row>
    <row r="331" spans="1:36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>
        <f t="shared" si="30"/>
        <v>2184.1999999999998</v>
      </c>
      <c r="AF331">
        <f t="shared" si="31"/>
        <v>507.79999999999995</v>
      </c>
      <c r="AG331">
        <f t="shared" si="32"/>
        <v>487.2</v>
      </c>
      <c r="AH331">
        <f t="shared" si="33"/>
        <v>340.2</v>
      </c>
      <c r="AI331" s="63">
        <f t="shared" si="34"/>
        <v>495.3</v>
      </c>
      <c r="AJ331" s="66">
        <f t="shared" si="35"/>
        <v>358.29999999999995</v>
      </c>
    </row>
    <row r="332" spans="1:36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167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>
        <f t="shared" si="30"/>
        <v>2206.6000000000004</v>
      </c>
      <c r="AF332">
        <f t="shared" si="31"/>
        <v>529.70000000000005</v>
      </c>
      <c r="AG332">
        <f t="shared" si="32"/>
        <v>504.3</v>
      </c>
      <c r="AH332">
        <f t="shared" si="33"/>
        <v>346</v>
      </c>
      <c r="AI332" s="63">
        <f t="shared" si="34"/>
        <v>508</v>
      </c>
      <c r="AJ332" s="66">
        <f t="shared" si="35"/>
        <v>363</v>
      </c>
    </row>
    <row r="333" spans="1:36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>
        <f t="shared" si="30"/>
        <v>2230.4</v>
      </c>
      <c r="AF333">
        <f t="shared" si="31"/>
        <v>489.2</v>
      </c>
      <c r="AG333">
        <f t="shared" si="32"/>
        <v>485.5</v>
      </c>
      <c r="AH333">
        <f t="shared" si="33"/>
        <v>337.4</v>
      </c>
      <c r="AI333" s="63">
        <f t="shared" si="34"/>
        <v>497.3</v>
      </c>
      <c r="AJ333" s="66">
        <f t="shared" si="35"/>
        <v>360.2</v>
      </c>
    </row>
    <row r="334" spans="1:36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>
        <f t="shared" si="30"/>
        <v>2214.3000000000002</v>
      </c>
      <c r="AF334">
        <f t="shared" si="31"/>
        <v>513.20000000000005</v>
      </c>
      <c r="AG334">
        <f t="shared" si="32"/>
        <v>493.9</v>
      </c>
      <c r="AH334">
        <f t="shared" si="33"/>
        <v>342.8</v>
      </c>
      <c r="AI334" s="63">
        <f t="shared" si="34"/>
        <v>503.2</v>
      </c>
      <c r="AJ334" s="66">
        <f t="shared" si="35"/>
        <v>360.70000000000005</v>
      </c>
    </row>
    <row r="335" spans="1:36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167.5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>
        <f t="shared" si="30"/>
        <v>2226.8000000000002</v>
      </c>
      <c r="AF335">
        <f t="shared" si="31"/>
        <v>535.5</v>
      </c>
      <c r="AG335">
        <f t="shared" si="32"/>
        <v>506.5</v>
      </c>
      <c r="AH335">
        <f t="shared" si="33"/>
        <v>346.2</v>
      </c>
      <c r="AI335" s="63">
        <f t="shared" si="34"/>
        <v>511.70000000000005</v>
      </c>
      <c r="AJ335" s="66">
        <f t="shared" si="35"/>
        <v>363.8</v>
      </c>
    </row>
    <row r="336" spans="1:36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>
        <f t="shared" si="30"/>
        <v>2262.1999999999998</v>
      </c>
      <c r="AF336">
        <f t="shared" si="31"/>
        <v>493.7</v>
      </c>
      <c r="AG336">
        <f t="shared" si="32"/>
        <v>487.8</v>
      </c>
      <c r="AH336">
        <f t="shared" si="33"/>
        <v>338.29999999999995</v>
      </c>
      <c r="AI336" s="63">
        <f t="shared" si="34"/>
        <v>502.1</v>
      </c>
      <c r="AJ336" s="66">
        <f t="shared" si="35"/>
        <v>361.3</v>
      </c>
    </row>
    <row r="337" spans="1:36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>
        <f t="shared" si="30"/>
        <v>2238.9</v>
      </c>
      <c r="AF337">
        <f t="shared" si="31"/>
        <v>518.6</v>
      </c>
      <c r="AG337">
        <f t="shared" si="32"/>
        <v>496</v>
      </c>
      <c r="AH337">
        <f t="shared" si="33"/>
        <v>343.20000000000005</v>
      </c>
      <c r="AI337" s="63">
        <f t="shared" si="34"/>
        <v>507.3</v>
      </c>
      <c r="AJ337" s="66">
        <f t="shared" si="35"/>
        <v>361.6</v>
      </c>
    </row>
    <row r="338" spans="1:36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166.8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>
        <f t="shared" si="30"/>
        <v>2248.3000000000002</v>
      </c>
      <c r="AF338">
        <f t="shared" si="31"/>
        <v>539.79999999999995</v>
      </c>
      <c r="AG338">
        <f t="shared" si="32"/>
        <v>506.1</v>
      </c>
      <c r="AH338">
        <f t="shared" si="33"/>
        <v>347.7</v>
      </c>
      <c r="AI338" s="63">
        <f t="shared" si="34"/>
        <v>513.79999999999995</v>
      </c>
      <c r="AJ338" s="66">
        <f t="shared" si="35"/>
        <v>363.9</v>
      </c>
    </row>
    <row r="339" spans="1:36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>
        <f t="shared" si="30"/>
        <v>2287.5</v>
      </c>
      <c r="AF339">
        <f t="shared" si="31"/>
        <v>498.4</v>
      </c>
      <c r="AG339">
        <f t="shared" si="32"/>
        <v>487.79999999999995</v>
      </c>
      <c r="AH339">
        <f t="shared" si="33"/>
        <v>340.1</v>
      </c>
      <c r="AI339" s="63">
        <f t="shared" si="34"/>
        <v>503.80000000000007</v>
      </c>
      <c r="AJ339" s="66">
        <f t="shared" si="35"/>
        <v>362.1</v>
      </c>
    </row>
    <row r="340" spans="1:36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>
        <f t="shared" si="30"/>
        <v>2261.9</v>
      </c>
      <c r="AF340">
        <f t="shared" si="31"/>
        <v>523</v>
      </c>
      <c r="AG340">
        <f t="shared" si="32"/>
        <v>495.90000000000003</v>
      </c>
      <c r="AH340">
        <f t="shared" si="33"/>
        <v>344.8</v>
      </c>
      <c r="AI340" s="63">
        <f t="shared" si="34"/>
        <v>509.20000000000005</v>
      </c>
      <c r="AJ340" s="66">
        <f t="shared" si="35"/>
        <v>361.8</v>
      </c>
    </row>
    <row r="341" spans="1:36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167.8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>
        <f t="shared" si="30"/>
        <v>2252.5</v>
      </c>
      <c r="AF341">
        <f t="shared" si="31"/>
        <v>544</v>
      </c>
      <c r="AG341">
        <f t="shared" si="32"/>
        <v>509.6</v>
      </c>
      <c r="AH341">
        <f t="shared" si="33"/>
        <v>348.5</v>
      </c>
      <c r="AI341" s="63">
        <f t="shared" si="34"/>
        <v>518.70000000000005</v>
      </c>
      <c r="AJ341" s="66">
        <f t="shared" si="35"/>
        <v>365</v>
      </c>
    </row>
    <row r="342" spans="1:36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>
        <f t="shared" si="30"/>
        <v>2291.6</v>
      </c>
      <c r="AF342">
        <f t="shared" si="31"/>
        <v>502</v>
      </c>
      <c r="AG342">
        <f t="shared" si="32"/>
        <v>491.1</v>
      </c>
      <c r="AH342">
        <f t="shared" si="33"/>
        <v>341.5</v>
      </c>
      <c r="AI342" s="63">
        <f t="shared" si="34"/>
        <v>510.4</v>
      </c>
      <c r="AJ342" s="66">
        <f t="shared" si="35"/>
        <v>363.29999999999995</v>
      </c>
    </row>
    <row r="343" spans="1:36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>
        <f t="shared" si="30"/>
        <v>2266.3000000000002</v>
      </c>
      <c r="AF343">
        <f t="shared" si="31"/>
        <v>526.90000000000009</v>
      </c>
      <c r="AG343">
        <f t="shared" si="32"/>
        <v>499.3</v>
      </c>
      <c r="AH343">
        <f t="shared" si="33"/>
        <v>345.79999999999995</v>
      </c>
      <c r="AI343" s="63">
        <f t="shared" si="34"/>
        <v>514.79999999999995</v>
      </c>
      <c r="AJ343" s="66">
        <f t="shared" si="35"/>
        <v>363</v>
      </c>
    </row>
    <row r="344" spans="1:36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169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>
        <f t="shared" si="30"/>
        <v>2255.8000000000002</v>
      </c>
      <c r="AF344">
        <f t="shared" si="31"/>
        <v>547.9</v>
      </c>
      <c r="AG344">
        <f t="shared" si="32"/>
        <v>511.59999999999997</v>
      </c>
      <c r="AH344">
        <f t="shared" si="33"/>
        <v>350.5</v>
      </c>
      <c r="AI344" s="63">
        <f t="shared" si="34"/>
        <v>520.40000000000009</v>
      </c>
      <c r="AJ344" s="66">
        <f t="shared" si="35"/>
        <v>366.29999999999995</v>
      </c>
    </row>
    <row r="345" spans="1:36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>
        <f t="shared" si="30"/>
        <v>2293.6999999999998</v>
      </c>
      <c r="AF345">
        <f t="shared" si="31"/>
        <v>505.29999999999995</v>
      </c>
      <c r="AG345">
        <f t="shared" si="32"/>
        <v>492.70000000000005</v>
      </c>
      <c r="AH345">
        <f t="shared" si="33"/>
        <v>344</v>
      </c>
      <c r="AI345" s="63">
        <f t="shared" si="34"/>
        <v>511.59999999999997</v>
      </c>
      <c r="AJ345" s="66">
        <f t="shared" si="35"/>
        <v>364.1</v>
      </c>
    </row>
    <row r="346" spans="1:36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>
        <f t="shared" si="30"/>
        <v>2269.2000000000007</v>
      </c>
      <c r="AF346">
        <f t="shared" si="31"/>
        <v>530.70000000000005</v>
      </c>
      <c r="AG346">
        <f t="shared" si="32"/>
        <v>501.1</v>
      </c>
      <c r="AH346">
        <f t="shared" si="33"/>
        <v>348</v>
      </c>
      <c r="AI346" s="63">
        <f t="shared" si="34"/>
        <v>516.29999999999995</v>
      </c>
      <c r="AJ346" s="66">
        <f t="shared" si="35"/>
        <v>364.1</v>
      </c>
    </row>
    <row r="347" spans="1:36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169.5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>
        <f t="shared" si="30"/>
        <v>2267.7999999999997</v>
      </c>
      <c r="AF347">
        <f t="shared" si="31"/>
        <v>552.5</v>
      </c>
      <c r="AG347">
        <f t="shared" si="32"/>
        <v>513.1</v>
      </c>
      <c r="AH347">
        <f t="shared" si="33"/>
        <v>351</v>
      </c>
      <c r="AI347" s="63">
        <f t="shared" si="34"/>
        <v>522.79999999999995</v>
      </c>
      <c r="AJ347" s="66">
        <f t="shared" si="35"/>
        <v>367.6</v>
      </c>
    </row>
    <row r="348" spans="1:36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>
        <f t="shared" si="30"/>
        <v>2306.4</v>
      </c>
      <c r="AF348">
        <f t="shared" si="31"/>
        <v>509.7</v>
      </c>
      <c r="AG348">
        <f t="shared" si="32"/>
        <v>494.90000000000003</v>
      </c>
      <c r="AH348">
        <f t="shared" si="33"/>
        <v>344.9</v>
      </c>
      <c r="AI348" s="63">
        <f t="shared" si="34"/>
        <v>513.70000000000005</v>
      </c>
      <c r="AJ348" s="66">
        <f t="shared" si="35"/>
        <v>365.79999999999995</v>
      </c>
    </row>
    <row r="349" spans="1:36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>
        <f t="shared" si="30"/>
        <v>2280.9</v>
      </c>
      <c r="AF349">
        <f t="shared" si="31"/>
        <v>535.1</v>
      </c>
      <c r="AG349">
        <f t="shared" si="32"/>
        <v>503</v>
      </c>
      <c r="AH349">
        <f t="shared" si="33"/>
        <v>348.70000000000005</v>
      </c>
      <c r="AI349" s="63">
        <f t="shared" si="34"/>
        <v>518.5</v>
      </c>
      <c r="AJ349" s="66">
        <f t="shared" si="35"/>
        <v>365.6</v>
      </c>
    </row>
    <row r="350" spans="1:36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171.2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>
        <f t="shared" si="30"/>
        <v>2284.5</v>
      </c>
      <c r="AF350">
        <f t="shared" si="31"/>
        <v>556.4</v>
      </c>
      <c r="AG350">
        <f t="shared" si="32"/>
        <v>514.5</v>
      </c>
      <c r="AH350">
        <f t="shared" si="33"/>
        <v>353.2</v>
      </c>
      <c r="AI350" s="63">
        <f t="shared" si="34"/>
        <v>526.4</v>
      </c>
      <c r="AJ350" s="66">
        <f t="shared" si="35"/>
        <v>368.8</v>
      </c>
    </row>
    <row r="351" spans="1:36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>
        <f t="shared" si="30"/>
        <v>2322.3000000000002</v>
      </c>
      <c r="AF351">
        <f t="shared" si="31"/>
        <v>511.70000000000005</v>
      </c>
      <c r="AG351">
        <f t="shared" si="32"/>
        <v>496.3</v>
      </c>
      <c r="AH351">
        <f t="shared" si="33"/>
        <v>347</v>
      </c>
      <c r="AI351" s="63">
        <f t="shared" si="34"/>
        <v>517.20000000000005</v>
      </c>
      <c r="AJ351" s="66">
        <f t="shared" si="35"/>
        <v>366.9</v>
      </c>
    </row>
    <row r="352" spans="1:36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>
        <f t="shared" si="30"/>
        <v>2297.2999999999997</v>
      </c>
      <c r="AF352">
        <f t="shared" si="31"/>
        <v>538.20000000000005</v>
      </c>
      <c r="AG352">
        <f t="shared" si="32"/>
        <v>504.5</v>
      </c>
      <c r="AH352">
        <f t="shared" si="33"/>
        <v>350.79999999999995</v>
      </c>
      <c r="AI352" s="63">
        <f t="shared" si="34"/>
        <v>522.1</v>
      </c>
      <c r="AJ352" s="66">
        <f t="shared" si="35"/>
        <v>366.8</v>
      </c>
    </row>
    <row r="353" spans="1:36">
      <c r="A353" t="s">
        <v>30</v>
      </c>
      <c r="B353">
        <v>2022</v>
      </c>
      <c r="C353" t="s">
        <v>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171.8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>
        <f t="shared" si="30"/>
        <v>2287.6999999999998</v>
      </c>
      <c r="AF353">
        <f t="shared" si="31"/>
        <v>559.29999999999995</v>
      </c>
      <c r="AG353">
        <f t="shared" si="32"/>
        <v>515.20000000000005</v>
      </c>
      <c r="AH353">
        <f t="shared" si="33"/>
        <v>355.70000000000005</v>
      </c>
      <c r="AI353" s="63">
        <f t="shared" si="34"/>
        <v>529.20000000000005</v>
      </c>
      <c r="AJ353" s="66">
        <f t="shared" si="35"/>
        <v>370.1</v>
      </c>
    </row>
    <row r="354" spans="1:36">
      <c r="A354" t="s">
        <v>33</v>
      </c>
      <c r="B354">
        <v>2022</v>
      </c>
      <c r="C354" t="s">
        <v>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>
        <f t="shared" si="30"/>
        <v>2314.4</v>
      </c>
      <c r="AF354">
        <f t="shared" si="31"/>
        <v>514.9</v>
      </c>
      <c r="AG354">
        <f t="shared" si="32"/>
        <v>497.09999999999997</v>
      </c>
      <c r="AH354">
        <f t="shared" si="33"/>
        <v>349.6</v>
      </c>
      <c r="AI354" s="63">
        <f t="shared" si="34"/>
        <v>519</v>
      </c>
      <c r="AJ354" s="66">
        <f t="shared" si="35"/>
        <v>368</v>
      </c>
    </row>
    <row r="355" spans="1:36">
      <c r="A355" t="s">
        <v>34</v>
      </c>
      <c r="B355">
        <v>2022</v>
      </c>
      <c r="C355" t="s">
        <v>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>
        <f t="shared" si="30"/>
        <v>2296.8000000000002</v>
      </c>
      <c r="AF355">
        <f t="shared" si="31"/>
        <v>541.4</v>
      </c>
      <c r="AG355">
        <f t="shared" si="32"/>
        <v>505.2</v>
      </c>
      <c r="AH355">
        <f t="shared" si="33"/>
        <v>353.4</v>
      </c>
      <c r="AI355" s="63">
        <f t="shared" si="34"/>
        <v>524.5</v>
      </c>
      <c r="AJ355" s="66">
        <f t="shared" si="35"/>
        <v>368</v>
      </c>
    </row>
    <row r="356" spans="1:36">
      <c r="A356" t="s">
        <v>30</v>
      </c>
      <c r="B356">
        <v>2022</v>
      </c>
      <c r="C356" t="s">
        <v>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170.7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>
        <f t="shared" si="30"/>
        <v>2277.1000000000004</v>
      </c>
      <c r="AF356">
        <f t="shared" si="31"/>
        <v>561.79999999999995</v>
      </c>
      <c r="AG356">
        <f t="shared" si="32"/>
        <v>516.29999999999995</v>
      </c>
      <c r="AH356">
        <f t="shared" si="33"/>
        <v>359.2</v>
      </c>
      <c r="AI356" s="63">
        <f t="shared" si="34"/>
        <v>529.9</v>
      </c>
      <c r="AJ356" s="66">
        <f t="shared" si="35"/>
        <v>371.4</v>
      </c>
    </row>
    <row r="357" spans="1:36">
      <c r="A357" t="s">
        <v>33</v>
      </c>
      <c r="B357">
        <v>2022</v>
      </c>
      <c r="C357" t="s">
        <v>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>
        <f t="shared" si="30"/>
        <v>2295.8000000000002</v>
      </c>
      <c r="AF357">
        <f t="shared" si="31"/>
        <v>517.9</v>
      </c>
      <c r="AG357">
        <f t="shared" si="32"/>
        <v>498.30000000000007</v>
      </c>
      <c r="AH357">
        <f t="shared" si="33"/>
        <v>353.2</v>
      </c>
      <c r="AI357" s="63">
        <f t="shared" si="34"/>
        <v>518.59999999999991</v>
      </c>
      <c r="AJ357" s="66">
        <f t="shared" si="35"/>
        <v>369.29999999999995</v>
      </c>
    </row>
    <row r="358" spans="1:36">
      <c r="A358" t="s">
        <v>34</v>
      </c>
      <c r="B358">
        <v>2022</v>
      </c>
      <c r="C358" t="s">
        <v>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>
        <f t="shared" si="30"/>
        <v>2283.3999999999996</v>
      </c>
      <c r="AF358">
        <f t="shared" si="31"/>
        <v>544</v>
      </c>
      <c r="AG358">
        <f t="shared" si="32"/>
        <v>506.4</v>
      </c>
      <c r="AH358">
        <f t="shared" si="33"/>
        <v>356.9</v>
      </c>
      <c r="AI358" s="63">
        <f t="shared" si="34"/>
        <v>524.79999999999995</v>
      </c>
      <c r="AJ358" s="66">
        <f t="shared" si="35"/>
        <v>369.3</v>
      </c>
    </row>
    <row r="359" spans="1:36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172.1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>
        <f t="shared" si="30"/>
        <v>2283.1999999999998</v>
      </c>
      <c r="AF359">
        <f t="shared" si="31"/>
        <v>563.9</v>
      </c>
      <c r="AG359">
        <f t="shared" si="32"/>
        <v>517.79999999999995</v>
      </c>
      <c r="AH359">
        <f t="shared" si="33"/>
        <v>363.1</v>
      </c>
      <c r="AI359" s="63">
        <f t="shared" si="34"/>
        <v>532.5</v>
      </c>
      <c r="AJ359" s="66">
        <f t="shared" si="35"/>
        <v>373.4</v>
      </c>
    </row>
    <row r="360" spans="1:36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>
        <f t="shared" si="30"/>
        <v>2310.2000000000003</v>
      </c>
      <c r="AF360">
        <f t="shared" si="31"/>
        <v>520.6</v>
      </c>
      <c r="AG360">
        <f t="shared" si="32"/>
        <v>499.1</v>
      </c>
      <c r="AH360">
        <f t="shared" si="33"/>
        <v>357.3</v>
      </c>
      <c r="AI360" s="63">
        <f t="shared" si="34"/>
        <v>520.20000000000005</v>
      </c>
      <c r="AJ360" s="66">
        <f t="shared" si="35"/>
        <v>370.5</v>
      </c>
    </row>
    <row r="361" spans="1:36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>
        <f t="shared" si="30"/>
        <v>2292.7000000000003</v>
      </c>
      <c r="AF361">
        <f t="shared" si="31"/>
        <v>546.29999999999995</v>
      </c>
      <c r="AG361">
        <f t="shared" si="32"/>
        <v>507.4</v>
      </c>
      <c r="AH361">
        <f t="shared" si="33"/>
        <v>360.9</v>
      </c>
      <c r="AI361" s="63">
        <f t="shared" si="34"/>
        <v>527</v>
      </c>
      <c r="AJ361" s="66">
        <f t="shared" si="35"/>
        <v>371</v>
      </c>
    </row>
    <row r="362" spans="1:36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173.5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>
        <f t="shared" si="30"/>
        <v>2265.7000000000003</v>
      </c>
      <c r="AF362">
        <f t="shared" si="31"/>
        <v>566.6</v>
      </c>
      <c r="AG362">
        <f t="shared" si="32"/>
        <v>520.29999999999995</v>
      </c>
      <c r="AH362">
        <f t="shared" si="33"/>
        <v>367.29999999999995</v>
      </c>
      <c r="AI362" s="63">
        <f t="shared" si="34"/>
        <v>533.70000000000005</v>
      </c>
      <c r="AJ362" s="66">
        <f t="shared" si="35"/>
        <v>376.20000000000005</v>
      </c>
    </row>
    <row r="363" spans="1:36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>
        <f t="shared" si="30"/>
        <v>2303.1999999999998</v>
      </c>
      <c r="AF363">
        <f t="shared" si="31"/>
        <v>525.5</v>
      </c>
      <c r="AG363">
        <f t="shared" si="32"/>
        <v>500.70000000000005</v>
      </c>
      <c r="AH363">
        <f t="shared" si="33"/>
        <v>362.20000000000005</v>
      </c>
      <c r="AI363" s="63">
        <f t="shared" si="34"/>
        <v>525.5</v>
      </c>
      <c r="AJ363" s="66">
        <f t="shared" si="35"/>
        <v>372.7</v>
      </c>
    </row>
    <row r="364" spans="1:36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>
        <f t="shared" si="30"/>
        <v>2279.1</v>
      </c>
      <c r="AF364">
        <f t="shared" si="31"/>
        <v>550</v>
      </c>
      <c r="AG364">
        <f t="shared" si="32"/>
        <v>509.5</v>
      </c>
      <c r="AH364">
        <f t="shared" si="33"/>
        <v>365.4</v>
      </c>
      <c r="AI364" s="63">
        <f t="shared" si="34"/>
        <v>529.79999999999995</v>
      </c>
      <c r="AJ364" s="66">
        <f t="shared" si="35"/>
        <v>373.6</v>
      </c>
    </row>
    <row r="365" spans="1:36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173.5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 t="shared" si="30"/>
        <v>2265.8000000000002</v>
      </c>
      <c r="AF365">
        <f t="shared" si="31"/>
        <v>566.6</v>
      </c>
      <c r="AG365">
        <f t="shared" si="32"/>
        <v>520.29999999999995</v>
      </c>
      <c r="AH365">
        <f t="shared" si="33"/>
        <v>367.29999999999995</v>
      </c>
      <c r="AI365" s="63">
        <f t="shared" si="34"/>
        <v>533.5</v>
      </c>
      <c r="AJ365" s="66">
        <f t="shared" si="35"/>
        <v>376.3</v>
      </c>
    </row>
    <row r="366" spans="1:36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>
        <f t="shared" si="30"/>
        <v>2303.3999999999996</v>
      </c>
      <c r="AF366">
        <f t="shared" si="31"/>
        <v>525.4</v>
      </c>
      <c r="AG366">
        <f t="shared" si="32"/>
        <v>500.70000000000005</v>
      </c>
      <c r="AH366">
        <f t="shared" si="33"/>
        <v>362.3</v>
      </c>
      <c r="AI366" s="63">
        <f t="shared" si="34"/>
        <v>525.29999999999995</v>
      </c>
      <c r="AJ366" s="66">
        <f t="shared" si="35"/>
        <v>372.7</v>
      </c>
    </row>
    <row r="367" spans="1:36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 t="shared" si="30"/>
        <v>2279.1999999999998</v>
      </c>
      <c r="AF367">
        <f t="shared" si="31"/>
        <v>549.9</v>
      </c>
      <c r="AG367">
        <f t="shared" si="32"/>
        <v>509.5</v>
      </c>
      <c r="AH367">
        <f t="shared" si="33"/>
        <v>365.4</v>
      </c>
      <c r="AI367" s="63">
        <f t="shared" si="34"/>
        <v>529.59999999999991</v>
      </c>
      <c r="AJ367" s="66">
        <f t="shared" si="35"/>
        <v>373.6</v>
      </c>
    </row>
    <row r="368" spans="1:36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>
        <v>175.2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>
        <f t="shared" si="30"/>
        <v>2274.2000000000003</v>
      </c>
      <c r="AF368">
        <f t="shared" si="31"/>
        <v>568.20000000000005</v>
      </c>
      <c r="AG368">
        <f t="shared" si="32"/>
        <v>522</v>
      </c>
      <c r="AH368">
        <f t="shared" si="33"/>
        <v>371</v>
      </c>
      <c r="AI368" s="63">
        <f t="shared" si="34"/>
        <v>535.79999999999995</v>
      </c>
      <c r="AJ368" s="66">
        <f t="shared" si="35"/>
        <v>378.4</v>
      </c>
    </row>
    <row r="369" spans="1:36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>
        <f t="shared" si="30"/>
        <v>2317.7000000000003</v>
      </c>
      <c r="AF369">
        <f t="shared" si="31"/>
        <v>527.6</v>
      </c>
      <c r="AG369">
        <f t="shared" si="32"/>
        <v>503.09999999999997</v>
      </c>
      <c r="AH369">
        <f t="shared" si="33"/>
        <v>365.9</v>
      </c>
      <c r="AI369" s="63">
        <f t="shared" si="34"/>
        <v>526.9</v>
      </c>
      <c r="AJ369" s="66">
        <f t="shared" si="35"/>
        <v>374.4</v>
      </c>
    </row>
    <row r="370" spans="1:36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E370">
        <f t="shared" si="30"/>
        <v>2289.6000000000004</v>
      </c>
      <c r="AF370">
        <f t="shared" si="31"/>
        <v>551.79999999999995</v>
      </c>
      <c r="AG370">
        <f t="shared" si="32"/>
        <v>511.59999999999997</v>
      </c>
      <c r="AH370">
        <f t="shared" si="33"/>
        <v>369</v>
      </c>
      <c r="AI370" s="63">
        <f t="shared" si="34"/>
        <v>531.5</v>
      </c>
      <c r="AJ370" s="66">
        <f t="shared" si="35"/>
        <v>375.6</v>
      </c>
    </row>
    <row r="371" spans="1:36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>
        <v>175.6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>
        <f t="shared" si="30"/>
        <v>2290.6999999999998</v>
      </c>
      <c r="AF371">
        <f t="shared" si="31"/>
        <v>569.90000000000009</v>
      </c>
      <c r="AG371">
        <f t="shared" si="32"/>
        <v>523.79999999999995</v>
      </c>
      <c r="AH371">
        <f t="shared" si="33"/>
        <v>372.70000000000005</v>
      </c>
      <c r="AI371" s="63">
        <f t="shared" si="34"/>
        <v>537.90000000000009</v>
      </c>
      <c r="AJ371" s="66">
        <f t="shared" si="35"/>
        <v>379.4</v>
      </c>
    </row>
    <row r="372" spans="1:36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>
        <f t="shared" si="30"/>
        <v>2335.1</v>
      </c>
      <c r="AF372">
        <f t="shared" si="31"/>
        <v>528.70000000000005</v>
      </c>
      <c r="AG372">
        <f t="shared" si="32"/>
        <v>504.40000000000003</v>
      </c>
      <c r="AH372">
        <f t="shared" si="33"/>
        <v>367.79999999999995</v>
      </c>
      <c r="AI372" s="63">
        <f t="shared" si="34"/>
        <v>529.1</v>
      </c>
      <c r="AJ372" s="66">
        <f t="shared" si="35"/>
        <v>375.79999999999995</v>
      </c>
    </row>
    <row r="373" spans="1:36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E373">
        <f t="shared" si="30"/>
        <v>2306.9</v>
      </c>
      <c r="AF373">
        <f t="shared" si="31"/>
        <v>553.20000000000005</v>
      </c>
      <c r="AG373">
        <f t="shared" si="32"/>
        <v>513.09999999999991</v>
      </c>
      <c r="AH373">
        <f t="shared" si="33"/>
        <v>370.9</v>
      </c>
      <c r="AI373" s="63">
        <f t="shared" si="34"/>
        <v>533.59999999999991</v>
      </c>
      <c r="AJ373" s="66">
        <f t="shared" si="35"/>
        <v>376.7</v>
      </c>
    </row>
  </sheetData>
  <dataValidations count="1">
    <dataValidation type="list" allowBlank="1" showInputMessage="1" showErrorMessage="1" sqref="AO7" xr:uid="{64B5F72E-A042-45C4-8BE8-CE124E1A49DA}">
      <formula1>$AN$7:$AN$12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910C-C166-4317-A2B2-A25112729274}">
  <dimension ref="A1:G47"/>
  <sheetViews>
    <sheetView topLeftCell="A37" workbookViewId="0">
      <selection activeCell="A42" sqref="A42"/>
    </sheetView>
  </sheetViews>
  <sheetFormatPr defaultRowHeight="14.45"/>
  <cols>
    <col min="1" max="1" width="33.28515625" bestFit="1" customWidth="1"/>
    <col min="4" max="5" width="11.5703125" customWidth="1"/>
    <col min="7" max="7" width="11.28515625" bestFit="1" customWidth="1"/>
  </cols>
  <sheetData>
    <row r="1" spans="1:7" ht="17.45">
      <c r="A1" s="16" t="s">
        <v>54</v>
      </c>
    </row>
    <row r="3" spans="1:7" ht="18">
      <c r="A3" s="54" t="s">
        <v>55</v>
      </c>
      <c r="B3" s="14"/>
      <c r="C3" s="13" t="s">
        <v>56</v>
      </c>
      <c r="D3" s="12"/>
      <c r="E3" s="14" t="s">
        <v>57</v>
      </c>
      <c r="F3" s="13"/>
      <c r="G3" s="11"/>
    </row>
    <row r="4" spans="1:7">
      <c r="A4" s="3" t="s">
        <v>0</v>
      </c>
      <c r="B4" s="15" t="s">
        <v>58</v>
      </c>
      <c r="C4" s="10" t="s">
        <v>33</v>
      </c>
      <c r="D4" s="10" t="s">
        <v>34</v>
      </c>
      <c r="E4" s="19" t="s">
        <v>58</v>
      </c>
      <c r="F4" s="9" t="s">
        <v>33</v>
      </c>
      <c r="G4" s="9" t="s">
        <v>34</v>
      </c>
    </row>
    <row r="5" spans="1:7">
      <c r="A5" s="7" t="s">
        <v>3</v>
      </c>
      <c r="B5" s="6">
        <v>173.2</v>
      </c>
      <c r="C5" s="6">
        <v>174.7</v>
      </c>
      <c r="D5" s="6">
        <v>173.7</v>
      </c>
      <c r="E5" s="5">
        <f t="shared" ref="E5:E31" si="0">(B5/$B$32)*100</f>
        <v>3.5680441679370434</v>
      </c>
      <c r="F5" s="4">
        <f t="shared" ref="F5:F31" si="1">(C5/$C$32)*100</f>
        <v>3.625158224564752</v>
      </c>
      <c r="G5" s="4">
        <f t="shared" ref="G5:G31" si="2">(D5/$D$32)*100</f>
        <v>3.5936691838212473</v>
      </c>
    </row>
    <row r="6" spans="1:7">
      <c r="A6" s="7" t="s">
        <v>4</v>
      </c>
      <c r="B6" s="6">
        <v>211.5</v>
      </c>
      <c r="C6" s="6">
        <v>219.4</v>
      </c>
      <c r="D6" s="6">
        <v>214.3</v>
      </c>
      <c r="E6" s="5">
        <f t="shared" si="0"/>
        <v>4.3570516253965632</v>
      </c>
      <c r="F6" s="4">
        <f t="shared" si="1"/>
        <v>4.5527173123612288</v>
      </c>
      <c r="G6" s="4">
        <f t="shared" si="2"/>
        <v>4.4336402193027826</v>
      </c>
    </row>
    <row r="7" spans="1:7">
      <c r="A7" s="7" t="s">
        <v>5</v>
      </c>
      <c r="B7" s="6">
        <v>171</v>
      </c>
      <c r="C7" s="6">
        <v>176.7</v>
      </c>
      <c r="D7" s="6">
        <v>173.2</v>
      </c>
      <c r="E7" s="5">
        <f t="shared" si="0"/>
        <v>3.5227225907461572</v>
      </c>
      <c r="F7" s="4">
        <f t="shared" si="1"/>
        <v>3.6666597497458029</v>
      </c>
      <c r="G7" s="4">
        <f t="shared" si="2"/>
        <v>3.5833247129409331</v>
      </c>
    </row>
    <row r="8" spans="1:7">
      <c r="A8" s="7" t="s">
        <v>6</v>
      </c>
      <c r="B8" s="6">
        <v>179.6</v>
      </c>
      <c r="C8" s="6">
        <v>179.4</v>
      </c>
      <c r="D8" s="6">
        <v>179.5</v>
      </c>
      <c r="E8" s="5">
        <f t="shared" si="0"/>
        <v>3.699888756128713</v>
      </c>
      <c r="F8" s="4">
        <f t="shared" si="1"/>
        <v>3.7226868087402214</v>
      </c>
      <c r="G8" s="4">
        <f t="shared" si="2"/>
        <v>3.7136650460328955</v>
      </c>
    </row>
    <row r="9" spans="1:7">
      <c r="A9" s="7" t="s">
        <v>7</v>
      </c>
      <c r="B9" s="6">
        <v>173.3</v>
      </c>
      <c r="C9" s="6">
        <v>164.4</v>
      </c>
      <c r="D9" s="6">
        <v>170</v>
      </c>
      <c r="E9" s="5">
        <f t="shared" si="0"/>
        <v>3.5701042396275389</v>
      </c>
      <c r="F9" s="4">
        <f t="shared" si="1"/>
        <v>3.4114253698823434</v>
      </c>
      <c r="G9" s="4">
        <f t="shared" si="2"/>
        <v>3.5171200993069203</v>
      </c>
    </row>
    <row r="10" spans="1:7">
      <c r="A10" s="7" t="s">
        <v>8</v>
      </c>
      <c r="B10" s="6">
        <v>169</v>
      </c>
      <c r="C10" s="6">
        <v>175.8</v>
      </c>
      <c r="D10" s="6">
        <v>172.2</v>
      </c>
      <c r="E10" s="5">
        <f t="shared" si="0"/>
        <v>3.4815211569362612</v>
      </c>
      <c r="F10" s="4">
        <f t="shared" si="1"/>
        <v>3.6479840634143308</v>
      </c>
      <c r="G10" s="4">
        <f t="shared" si="2"/>
        <v>3.5626357711803038</v>
      </c>
    </row>
    <row r="11" spans="1:7">
      <c r="A11" s="7" t="s">
        <v>9</v>
      </c>
      <c r="B11" s="6">
        <v>148.69999999999999</v>
      </c>
      <c r="C11" s="6">
        <v>185</v>
      </c>
      <c r="D11" s="6">
        <v>161</v>
      </c>
      <c r="E11" s="5">
        <f t="shared" si="0"/>
        <v>3.0633266037658107</v>
      </c>
      <c r="F11" s="4">
        <f t="shared" si="1"/>
        <v>3.838891079247162</v>
      </c>
      <c r="G11" s="4">
        <f t="shared" si="2"/>
        <v>3.3309196234612601</v>
      </c>
    </row>
    <row r="12" spans="1:7">
      <c r="A12" s="7" t="s">
        <v>10</v>
      </c>
      <c r="B12" s="6">
        <v>174.9</v>
      </c>
      <c r="C12" s="6">
        <v>176.9</v>
      </c>
      <c r="D12" s="6">
        <v>175.6</v>
      </c>
      <c r="E12" s="5">
        <f t="shared" si="0"/>
        <v>3.6030653866754561</v>
      </c>
      <c r="F12" s="4">
        <f t="shared" si="1"/>
        <v>3.6708099022639078</v>
      </c>
      <c r="G12" s="4">
        <f t="shared" si="2"/>
        <v>3.6329781731664421</v>
      </c>
    </row>
    <row r="13" spans="1:7">
      <c r="A13" s="7" t="s">
        <v>11</v>
      </c>
      <c r="B13" s="6">
        <v>121.9</v>
      </c>
      <c r="C13" s="6">
        <v>124.2</v>
      </c>
      <c r="D13" s="6">
        <v>122.7</v>
      </c>
      <c r="E13" s="5">
        <f t="shared" si="0"/>
        <v>2.5112273907131963</v>
      </c>
      <c r="F13" s="4">
        <f t="shared" si="1"/>
        <v>2.5772447137432297</v>
      </c>
      <c r="G13" s="4">
        <f t="shared" si="2"/>
        <v>2.5385331540291713</v>
      </c>
    </row>
    <row r="14" spans="1:7">
      <c r="A14" s="7" t="s">
        <v>12</v>
      </c>
      <c r="B14" s="6">
        <v>221</v>
      </c>
      <c r="C14" s="6">
        <v>211.9</v>
      </c>
      <c r="D14" s="6">
        <v>218</v>
      </c>
      <c r="E14" s="5">
        <f t="shared" si="0"/>
        <v>4.5527584359935718</v>
      </c>
      <c r="F14" s="4">
        <f t="shared" si="1"/>
        <v>4.3970865929322898</v>
      </c>
      <c r="G14" s="4">
        <f t="shared" si="2"/>
        <v>4.5101893038171097</v>
      </c>
    </row>
    <row r="15" spans="1:7">
      <c r="A15" s="7" t="s">
        <v>13</v>
      </c>
      <c r="B15" s="6">
        <v>178.7</v>
      </c>
      <c r="C15" s="6">
        <v>165.9</v>
      </c>
      <c r="D15" s="6">
        <v>173.4</v>
      </c>
      <c r="E15" s="5">
        <f t="shared" si="0"/>
        <v>3.6813481109142594</v>
      </c>
      <c r="F15" s="4">
        <f t="shared" si="1"/>
        <v>3.4425515137681306</v>
      </c>
      <c r="G15" s="4">
        <f t="shared" si="2"/>
        <v>3.5874625012930585</v>
      </c>
    </row>
    <row r="16" spans="1:7">
      <c r="A16" s="7" t="s">
        <v>14</v>
      </c>
      <c r="B16" s="6">
        <v>191.1</v>
      </c>
      <c r="C16" s="6">
        <v>197.7</v>
      </c>
      <c r="D16" s="6">
        <v>194.2</v>
      </c>
      <c r="E16" s="5">
        <f t="shared" si="0"/>
        <v>3.9367970005356177</v>
      </c>
      <c r="F16" s="4">
        <f t="shared" si="1"/>
        <v>4.1024257641468314</v>
      </c>
      <c r="G16" s="4">
        <f t="shared" si="2"/>
        <v>4.0177924899141404</v>
      </c>
    </row>
    <row r="17" spans="1:7">
      <c r="A17" s="7" t="s">
        <v>15</v>
      </c>
      <c r="B17" s="6">
        <v>176.8</v>
      </c>
      <c r="C17" s="6">
        <v>183.1</v>
      </c>
      <c r="D17" s="6">
        <v>179.1</v>
      </c>
      <c r="E17" s="5">
        <f t="shared" si="0"/>
        <v>3.642206748794858</v>
      </c>
      <c r="F17" s="4">
        <f t="shared" si="1"/>
        <v>3.799464630325164</v>
      </c>
      <c r="G17" s="4">
        <f t="shared" si="2"/>
        <v>3.7053894693286438</v>
      </c>
    </row>
    <row r="18" spans="1:7">
      <c r="A18" s="7" t="s">
        <v>16</v>
      </c>
      <c r="B18" s="6">
        <v>199.9</v>
      </c>
      <c r="C18" s="6">
        <v>204.2</v>
      </c>
      <c r="D18" s="6">
        <v>201</v>
      </c>
      <c r="E18" s="5">
        <f t="shared" si="0"/>
        <v>4.1180833092991627</v>
      </c>
      <c r="F18" s="4">
        <f t="shared" si="1"/>
        <v>4.2373057209852449</v>
      </c>
      <c r="G18" s="4">
        <f t="shared" si="2"/>
        <v>4.1584772938864178</v>
      </c>
    </row>
    <row r="19" spans="1:7">
      <c r="A19" s="7" t="s">
        <v>17</v>
      </c>
      <c r="B19" s="6">
        <v>191.2</v>
      </c>
      <c r="C19" s="6">
        <v>181.3</v>
      </c>
      <c r="D19" s="6">
        <v>187.3</v>
      </c>
      <c r="E19" s="5">
        <f t="shared" si="0"/>
        <v>3.9388570722261123</v>
      </c>
      <c r="F19" s="4">
        <f t="shared" si="1"/>
        <v>3.7621132576622189</v>
      </c>
      <c r="G19" s="4">
        <f t="shared" si="2"/>
        <v>3.8750387917658018</v>
      </c>
    </row>
    <row r="20" spans="1:7">
      <c r="A20" s="7" t="s">
        <v>18</v>
      </c>
      <c r="B20" s="6">
        <v>187.9</v>
      </c>
      <c r="C20" s="6">
        <v>168.1</v>
      </c>
      <c r="D20" s="6">
        <v>179.7</v>
      </c>
      <c r="E20" s="5">
        <f t="shared" si="0"/>
        <v>3.8708747064397837</v>
      </c>
      <c r="F20" s="4">
        <f t="shared" si="1"/>
        <v>3.488203191467286</v>
      </c>
      <c r="G20" s="4">
        <f t="shared" si="2"/>
        <v>3.7178028343850209</v>
      </c>
    </row>
    <row r="21" spans="1:7">
      <c r="A21" s="7" t="s">
        <v>19</v>
      </c>
      <c r="B21" s="6">
        <v>190.8</v>
      </c>
      <c r="C21" s="6">
        <v>179.3</v>
      </c>
      <c r="D21" s="6">
        <v>186.2</v>
      </c>
      <c r="E21" s="5">
        <f t="shared" si="0"/>
        <v>3.9306167854641338</v>
      </c>
      <c r="F21" s="4">
        <f t="shared" si="1"/>
        <v>3.7206117324811689</v>
      </c>
      <c r="G21" s="4">
        <f t="shared" si="2"/>
        <v>3.8522809558291091</v>
      </c>
    </row>
    <row r="22" spans="1:7">
      <c r="A22" s="7" t="s">
        <v>20</v>
      </c>
      <c r="B22" s="6">
        <v>175.6</v>
      </c>
      <c r="C22" s="6">
        <v>175.6</v>
      </c>
      <c r="D22" s="6">
        <v>175.6</v>
      </c>
      <c r="E22" s="5">
        <f t="shared" si="0"/>
        <v>3.6174858885089192</v>
      </c>
      <c r="F22" s="4">
        <f t="shared" si="1"/>
        <v>3.643833910896225</v>
      </c>
      <c r="G22" s="4">
        <f t="shared" si="2"/>
        <v>3.6329781731664421</v>
      </c>
    </row>
    <row r="23" spans="1:7">
      <c r="A23" s="7" t="s">
        <v>21</v>
      </c>
      <c r="B23" s="6">
        <v>182.5</v>
      </c>
      <c r="C23" s="6">
        <v>183.4</v>
      </c>
      <c r="D23" s="6">
        <v>182.8</v>
      </c>
      <c r="E23" s="5">
        <f t="shared" si="0"/>
        <v>3.7596308351530627</v>
      </c>
      <c r="F23" s="4">
        <f t="shared" si="1"/>
        <v>3.8056898591023214</v>
      </c>
      <c r="G23" s="4">
        <f t="shared" si="2"/>
        <v>3.7819385538429713</v>
      </c>
    </row>
    <row r="24" spans="1:7">
      <c r="A24" s="7" t="s">
        <v>22</v>
      </c>
      <c r="B24" s="6">
        <v>179.8</v>
      </c>
      <c r="C24" s="6">
        <v>170.1</v>
      </c>
      <c r="D24" s="6">
        <v>175.2</v>
      </c>
      <c r="E24" s="5">
        <f t="shared" si="0"/>
        <v>3.7040088995097022</v>
      </c>
      <c r="F24" s="4">
        <f t="shared" si="1"/>
        <v>3.5297047166483368</v>
      </c>
      <c r="G24" s="4">
        <f t="shared" si="2"/>
        <v>3.6247025964621904</v>
      </c>
    </row>
    <row r="25" spans="1:7">
      <c r="A25" s="7" t="s">
        <v>23</v>
      </c>
      <c r="B25" s="6">
        <v>187.8</v>
      </c>
      <c r="C25" s="6">
        <v>182.2</v>
      </c>
      <c r="D25" s="6">
        <v>185.7</v>
      </c>
      <c r="E25" s="5">
        <f t="shared" si="0"/>
        <v>3.8688146347492887</v>
      </c>
      <c r="F25" s="4">
        <f t="shared" si="1"/>
        <v>3.780788943993691</v>
      </c>
      <c r="G25" s="4">
        <f t="shared" si="2"/>
        <v>3.8419364849487949</v>
      </c>
    </row>
    <row r="26" spans="1:7">
      <c r="A26" s="7" t="s">
        <v>24</v>
      </c>
      <c r="B26" s="6">
        <v>169.7</v>
      </c>
      <c r="C26" s="6">
        <v>160.4</v>
      </c>
      <c r="D26" s="6">
        <v>164.8</v>
      </c>
      <c r="E26" s="5">
        <f t="shared" si="0"/>
        <v>3.4959416587697243</v>
      </c>
      <c r="F26" s="4">
        <f t="shared" si="1"/>
        <v>3.3284223195202425</v>
      </c>
      <c r="G26" s="4">
        <f t="shared" si="2"/>
        <v>3.4095376021516501</v>
      </c>
    </row>
    <row r="27" spans="1:7">
      <c r="A27" s="7" t="s">
        <v>25</v>
      </c>
      <c r="B27" s="6">
        <v>173.8</v>
      </c>
      <c r="C27" s="6">
        <v>169.2</v>
      </c>
      <c r="D27" s="6">
        <v>171.2</v>
      </c>
      <c r="E27" s="5">
        <f t="shared" si="0"/>
        <v>3.5804045980800128</v>
      </c>
      <c r="F27" s="4">
        <f t="shared" si="1"/>
        <v>3.5110290303168639</v>
      </c>
      <c r="G27" s="4">
        <f t="shared" si="2"/>
        <v>3.5419468294196754</v>
      </c>
    </row>
    <row r="28" spans="1:7">
      <c r="A28" s="7" t="s">
        <v>26</v>
      </c>
      <c r="B28" s="6">
        <v>180.3</v>
      </c>
      <c r="C28" s="6">
        <v>174.8</v>
      </c>
      <c r="D28" s="6">
        <v>177.1</v>
      </c>
      <c r="E28" s="5">
        <f t="shared" si="0"/>
        <v>3.714309257962177</v>
      </c>
      <c r="F28" s="4">
        <f t="shared" si="1"/>
        <v>3.6272333008238054</v>
      </c>
      <c r="G28" s="4">
        <f t="shared" si="2"/>
        <v>3.6640115858073856</v>
      </c>
    </row>
    <row r="29" spans="1:7">
      <c r="A29" s="7" t="s">
        <v>27</v>
      </c>
      <c r="B29" s="6">
        <v>184.9</v>
      </c>
      <c r="C29" s="6">
        <v>185.6</v>
      </c>
      <c r="D29" s="6">
        <v>185.2</v>
      </c>
      <c r="E29" s="5">
        <f t="shared" si="0"/>
        <v>3.8090725557249385</v>
      </c>
      <c r="F29" s="4">
        <f t="shared" si="1"/>
        <v>3.8513415368014772</v>
      </c>
      <c r="G29" s="4">
        <f t="shared" si="2"/>
        <v>3.8315920140684803</v>
      </c>
    </row>
    <row r="30" spans="1:7">
      <c r="A30" s="7" t="s">
        <v>28</v>
      </c>
      <c r="B30" s="6">
        <v>179.5</v>
      </c>
      <c r="C30" s="6">
        <v>171.6</v>
      </c>
      <c r="D30" s="6">
        <v>175.7</v>
      </c>
      <c r="E30" s="5">
        <f t="shared" si="0"/>
        <v>3.697828684438218</v>
      </c>
      <c r="F30" s="4">
        <f t="shared" si="1"/>
        <v>3.5608308605341241</v>
      </c>
      <c r="G30" s="4">
        <f t="shared" si="2"/>
        <v>3.6350470673425055</v>
      </c>
    </row>
    <row r="31" spans="1:7">
      <c r="A31" s="8" t="s">
        <v>29</v>
      </c>
      <c r="B31" s="6">
        <v>179.8</v>
      </c>
      <c r="C31" s="6">
        <v>178.2</v>
      </c>
      <c r="D31" s="6">
        <v>179.1</v>
      </c>
      <c r="E31" s="5">
        <f t="shared" si="0"/>
        <v>3.7040088995097022</v>
      </c>
      <c r="F31" s="4">
        <f t="shared" si="1"/>
        <v>3.6977858936315902</v>
      </c>
      <c r="G31" s="4">
        <f t="shared" si="2"/>
        <v>3.7053894693286438</v>
      </c>
    </row>
    <row r="32" spans="1:7">
      <c r="A32" s="17" t="s">
        <v>59</v>
      </c>
      <c r="B32" s="18">
        <f>SUM(B5:B31)</f>
        <v>4854.2000000000007</v>
      </c>
      <c r="C32" s="18">
        <f>SUM(C5:C31)</f>
        <v>4819.1000000000004</v>
      </c>
      <c r="D32" s="18">
        <f>SUM(D5:D31)</f>
        <v>4833.5</v>
      </c>
      <c r="E32" s="3">
        <v>100</v>
      </c>
      <c r="F32" s="3">
        <v>100</v>
      </c>
      <c r="G32" s="3">
        <v>100</v>
      </c>
    </row>
    <row r="33" spans="1:7">
      <c r="A33" s="8" t="s">
        <v>60</v>
      </c>
      <c r="B33" s="6">
        <v>2290.6999999999998</v>
      </c>
      <c r="C33" s="6">
        <v>2335.1</v>
      </c>
      <c r="D33" s="6">
        <v>2306.9</v>
      </c>
      <c r="E33" s="5">
        <f>(B33/$B$32*100)</f>
        <v>47.190062214165039</v>
      </c>
      <c r="F33" s="5">
        <f>(C33/$C$32*100)</f>
        <v>48.455105725135397</v>
      </c>
      <c r="G33" s="5">
        <f>(D33/$D$32*100)</f>
        <v>47.727319747594912</v>
      </c>
    </row>
    <row r="34" spans="1:7">
      <c r="A34" s="8" t="s">
        <v>49</v>
      </c>
      <c r="B34" s="6">
        <v>569.90000000000009</v>
      </c>
      <c r="C34" s="6">
        <v>528.70000000000005</v>
      </c>
      <c r="D34" s="6">
        <v>553.20000000000005</v>
      </c>
      <c r="E34" s="5">
        <f t="shared" ref="E34:E38" si="3">(B34/$B$32*100)</f>
        <v>11.740348564130032</v>
      </c>
      <c r="F34" s="5">
        <f t="shared" ref="F34:F38" si="4">(C34/$C$32*100)</f>
        <v>10.970928181610674</v>
      </c>
      <c r="G34" s="5">
        <f t="shared" ref="G34:G38" si="5">(D34/$D$32*100)</f>
        <v>11.445122581979932</v>
      </c>
    </row>
    <row r="35" spans="1:7">
      <c r="A35" s="8" t="s">
        <v>50</v>
      </c>
      <c r="B35" s="6">
        <v>523.79999999999995</v>
      </c>
      <c r="C35" s="6">
        <v>504.40000000000003</v>
      </c>
      <c r="D35" s="6">
        <v>513.09999999999991</v>
      </c>
      <c r="E35" s="5">
        <f t="shared" si="3"/>
        <v>10.790655514811913</v>
      </c>
      <c r="F35" s="5">
        <f t="shared" si="4"/>
        <v>10.466684650660913</v>
      </c>
      <c r="G35" s="5">
        <f t="shared" si="5"/>
        <v>10.615496017378709</v>
      </c>
    </row>
    <row r="36" spans="1:7">
      <c r="A36" s="8" t="s">
        <v>51</v>
      </c>
      <c r="B36" s="6">
        <v>372.70000000000005</v>
      </c>
      <c r="C36" s="6">
        <v>367.79999999999995</v>
      </c>
      <c r="D36" s="6">
        <v>370.9</v>
      </c>
      <c r="E36" s="5">
        <f t="shared" si="3"/>
        <v>7.6778871904742276</v>
      </c>
      <c r="F36" s="5">
        <f t="shared" si="4"/>
        <v>7.6321304807951673</v>
      </c>
      <c r="G36" s="5">
        <f t="shared" si="5"/>
        <v>7.6735284990172747</v>
      </c>
    </row>
    <row r="37" spans="1:7">
      <c r="A37" s="8" t="s">
        <v>52</v>
      </c>
      <c r="B37" s="6">
        <v>537.90000000000009</v>
      </c>
      <c r="C37" s="6">
        <v>529.1</v>
      </c>
      <c r="D37" s="6">
        <v>533.59999999999991</v>
      </c>
      <c r="E37" s="5">
        <f t="shared" si="3"/>
        <v>11.081125623171687</v>
      </c>
      <c r="F37" s="5">
        <f t="shared" si="4"/>
        <v>10.979228486646884</v>
      </c>
      <c r="G37" s="5">
        <f t="shared" si="5"/>
        <v>11.039619323471603</v>
      </c>
    </row>
    <row r="38" spans="1:7">
      <c r="A38" s="8" t="s">
        <v>53</v>
      </c>
      <c r="B38" s="6">
        <v>379.4</v>
      </c>
      <c r="C38" s="6">
        <v>375.79999999999995</v>
      </c>
      <c r="D38" s="6">
        <v>376.7</v>
      </c>
      <c r="E38" s="5">
        <f t="shared" si="3"/>
        <v>7.8159119937373802</v>
      </c>
      <c r="F38" s="5">
        <f t="shared" si="4"/>
        <v>7.7981365815193691</v>
      </c>
      <c r="G38" s="5">
        <f t="shared" si="5"/>
        <v>7.7935243612289238</v>
      </c>
    </row>
    <row r="41" spans="1:7">
      <c r="A41" s="56" t="s">
        <v>61</v>
      </c>
    </row>
    <row r="42" spans="1:7" ht="15.6">
      <c r="A42" s="55" t="s">
        <v>62</v>
      </c>
    </row>
    <row r="43" spans="1:7">
      <c r="A43" s="20" t="s">
        <v>63</v>
      </c>
    </row>
    <row r="44" spans="1:7">
      <c r="A44" s="20" t="s">
        <v>64</v>
      </c>
    </row>
    <row r="45" spans="1:7">
      <c r="A45" s="20" t="s">
        <v>65</v>
      </c>
    </row>
    <row r="46" spans="1:7">
      <c r="A46" s="20" t="s">
        <v>66</v>
      </c>
    </row>
    <row r="47" spans="1:7">
      <c r="A47" s="20" t="s">
        <v>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D3DD-85C6-430B-B8AE-C9BC470DD1D5}">
  <dimension ref="A1:N32"/>
  <sheetViews>
    <sheetView tabSelected="1" topLeftCell="A3" workbookViewId="0">
      <selection activeCell="G23" sqref="G23:I25"/>
    </sheetView>
  </sheetViews>
  <sheetFormatPr defaultRowHeight="14.45"/>
  <cols>
    <col min="1" max="1" width="26.5703125" bestFit="1" customWidth="1"/>
    <col min="2" max="2" width="10.28515625" customWidth="1"/>
    <col min="3" max="3" width="5.85546875" customWidth="1"/>
    <col min="4" max="7" width="5.85546875" bestFit="1" customWidth="1"/>
    <col min="8" max="8" width="7.7109375" customWidth="1"/>
    <col min="9" max="9" width="11.42578125" bestFit="1" customWidth="1"/>
    <col min="10" max="10" width="5.85546875" bestFit="1" customWidth="1"/>
    <col min="11" max="11" width="8.42578125" customWidth="1"/>
    <col min="12" max="12" width="18.28515625" customWidth="1"/>
    <col min="13" max="13" width="11.42578125" customWidth="1"/>
    <col min="14" max="14" width="36.5703125" bestFit="1" customWidth="1"/>
    <col min="15" max="16" width="12.42578125" bestFit="1" customWidth="1"/>
  </cols>
  <sheetData>
    <row r="1" spans="1:12" ht="23.25">
      <c r="A1" s="79" t="s">
        <v>68</v>
      </c>
      <c r="B1" s="79"/>
    </row>
    <row r="3" spans="1:12">
      <c r="A3" s="69" t="s">
        <v>69</v>
      </c>
      <c r="B3" s="69" t="s">
        <v>1</v>
      </c>
    </row>
    <row r="4" spans="1:12">
      <c r="A4" s="69" t="s">
        <v>2</v>
      </c>
      <c r="B4">
        <v>2017</v>
      </c>
      <c r="C4">
        <v>2018</v>
      </c>
      <c r="D4">
        <v>2019</v>
      </c>
      <c r="E4">
        <v>2020</v>
      </c>
      <c r="F4">
        <v>2021</v>
      </c>
      <c r="G4">
        <v>2022</v>
      </c>
      <c r="H4">
        <v>2023</v>
      </c>
      <c r="I4" t="s">
        <v>70</v>
      </c>
    </row>
    <row r="5" spans="1:12">
      <c r="A5" t="s">
        <v>31</v>
      </c>
      <c r="B5" s="70">
        <v>390.5</v>
      </c>
      <c r="C5" s="70">
        <v>410.3</v>
      </c>
      <c r="D5" s="70">
        <v>418.6</v>
      </c>
      <c r="E5" s="70">
        <v>450.29999999999995</v>
      </c>
      <c r="F5" s="70">
        <v>471.8</v>
      </c>
      <c r="G5" s="70">
        <v>497.1</v>
      </c>
      <c r="H5" s="70">
        <v>529.20000000000005</v>
      </c>
      <c r="I5" s="70">
        <v>3167.8</v>
      </c>
    </row>
    <row r="6" spans="1:12">
      <c r="A6" t="s">
        <v>45</v>
      </c>
      <c r="B6" s="70">
        <v>411.09999999999997</v>
      </c>
      <c r="C6" s="70">
        <v>420</v>
      </c>
      <c r="D6" s="70">
        <v>451.00000000000006</v>
      </c>
      <c r="E6" s="70">
        <v>476.5</v>
      </c>
      <c r="F6" s="70">
        <v>498.4</v>
      </c>
      <c r="G6" s="70">
        <v>526.9</v>
      </c>
      <c r="H6" s="70"/>
      <c r="I6" s="70">
        <v>2783.9</v>
      </c>
    </row>
    <row r="7" spans="1:12">
      <c r="A7" t="s">
        <v>70</v>
      </c>
      <c r="B7" s="70">
        <v>801.59999999999991</v>
      </c>
      <c r="C7" s="70">
        <v>830.3</v>
      </c>
      <c r="D7" s="70">
        <v>869.60000000000014</v>
      </c>
      <c r="E7" s="70">
        <v>926.8</v>
      </c>
      <c r="F7" s="70">
        <v>970.2</v>
      </c>
      <c r="G7" s="70">
        <v>1024</v>
      </c>
      <c r="H7" s="70">
        <v>529.20000000000005</v>
      </c>
      <c r="I7" s="70">
        <v>5951.7000000000007</v>
      </c>
    </row>
    <row r="9" spans="1:12" ht="15">
      <c r="A9" s="71" t="s">
        <v>71</v>
      </c>
      <c r="B9" s="71">
        <v>2017</v>
      </c>
      <c r="C9" s="71">
        <v>2018</v>
      </c>
      <c r="D9" s="71">
        <v>2019</v>
      </c>
      <c r="E9" s="71">
        <v>2020</v>
      </c>
      <c r="F9" s="71">
        <v>2021</v>
      </c>
      <c r="G9" s="71">
        <v>2022</v>
      </c>
      <c r="H9" s="71">
        <v>2023</v>
      </c>
      <c r="K9" s="75" t="s">
        <v>71</v>
      </c>
      <c r="L9" s="75" t="s">
        <v>72</v>
      </c>
    </row>
    <row r="10" spans="1:12" ht="15">
      <c r="A10" s="72" t="s">
        <v>31</v>
      </c>
      <c r="B10" s="72">
        <f>B5</f>
        <v>390.5</v>
      </c>
      <c r="C10" s="72">
        <f>C5</f>
        <v>410.3</v>
      </c>
      <c r="D10" s="72">
        <f>D5</f>
        <v>418.6</v>
      </c>
      <c r="E10" s="72">
        <f>E5</f>
        <v>450.29999999999995</v>
      </c>
      <c r="F10" s="72">
        <f>F5</f>
        <v>471.8</v>
      </c>
      <c r="G10" s="72">
        <f>G5</f>
        <v>497.1</v>
      </c>
      <c r="H10" s="72">
        <f>H5</f>
        <v>529.20000000000005</v>
      </c>
      <c r="K10" s="76">
        <v>2017</v>
      </c>
      <c r="L10" s="77">
        <v>5.010946241790311</v>
      </c>
    </row>
    <row r="11" spans="1:12" ht="15">
      <c r="A11" s="72" t="s">
        <v>45</v>
      </c>
      <c r="B11" s="72">
        <f>B6</f>
        <v>411.09999999999997</v>
      </c>
      <c r="C11" s="72">
        <f>C6</f>
        <v>420</v>
      </c>
      <c r="D11" s="72">
        <f>D6</f>
        <v>451.00000000000006</v>
      </c>
      <c r="E11" s="72">
        <f>E6</f>
        <v>476.5</v>
      </c>
      <c r="F11" s="72">
        <f>F6</f>
        <v>498.4</v>
      </c>
      <c r="G11" s="72">
        <f>G6</f>
        <v>526.9</v>
      </c>
      <c r="H11" s="72">
        <v>553.20000000000005</v>
      </c>
      <c r="K11" s="76">
        <v>2018</v>
      </c>
      <c r="L11" s="78">
        <v>2.3095238095238066</v>
      </c>
    </row>
    <row r="12" spans="1:12" ht="15">
      <c r="A12" s="73" t="s">
        <v>72</v>
      </c>
      <c r="B12" s="74">
        <f>((B11-B10)/B11)*100</f>
        <v>5.010946241790311</v>
      </c>
      <c r="C12" s="74">
        <f t="shared" ref="C12:H12" si="0">((C11-C10)/C11)*100</f>
        <v>2.3095238095238066</v>
      </c>
      <c r="D12" s="74">
        <f t="shared" si="0"/>
        <v>7.1840354767184103</v>
      </c>
      <c r="E12" s="74">
        <f t="shared" si="0"/>
        <v>5.4984260230850044</v>
      </c>
      <c r="F12" s="74">
        <f t="shared" si="0"/>
        <v>5.3370786516853865</v>
      </c>
      <c r="G12" s="74">
        <f t="shared" si="0"/>
        <v>5.6557221484152507</v>
      </c>
      <c r="H12" s="74">
        <f>((H11-H10)/H11)*100</f>
        <v>4.3383947939262475</v>
      </c>
      <c r="K12" s="76">
        <v>2019</v>
      </c>
      <c r="L12" s="77">
        <v>7.1840354767184103</v>
      </c>
    </row>
    <row r="13" spans="1:12">
      <c r="K13" s="76">
        <v>2020</v>
      </c>
      <c r="L13" s="77">
        <v>5.4984260230850044</v>
      </c>
    </row>
    <row r="14" spans="1:12">
      <c r="K14" s="76">
        <v>2021</v>
      </c>
      <c r="L14" s="77">
        <v>5.3370786516853865</v>
      </c>
    </row>
    <row r="15" spans="1:12">
      <c r="K15" s="76">
        <v>2022</v>
      </c>
      <c r="L15" s="77">
        <v>5.6557221484152507</v>
      </c>
    </row>
    <row r="16" spans="1:12">
      <c r="K16" s="76">
        <v>2023</v>
      </c>
      <c r="L16" s="77">
        <v>4.3383947939262475</v>
      </c>
    </row>
    <row r="27" spans="14:14">
      <c r="N27" s="80" t="s">
        <v>73</v>
      </c>
    </row>
    <row r="28" spans="14:14" ht="15">
      <c r="N28" s="20" t="s">
        <v>74</v>
      </c>
    </row>
    <row r="29" spans="14:14" ht="30.75">
      <c r="N29" s="81" t="s">
        <v>75</v>
      </c>
    </row>
    <row r="30" spans="14:14" ht="15"/>
    <row r="31" spans="14:14" ht="15"/>
    <row r="32" spans="14:14" ht="15"/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33EE-3DA7-4395-8EE3-20D190348EE4}">
  <dimension ref="A1:O71"/>
  <sheetViews>
    <sheetView topLeftCell="A55" workbookViewId="0">
      <selection activeCell="O5" sqref="O5"/>
    </sheetView>
  </sheetViews>
  <sheetFormatPr defaultRowHeight="14.45"/>
  <cols>
    <col min="1" max="1" width="30.42578125" bestFit="1" customWidth="1"/>
    <col min="14" max="14" width="36.5703125" bestFit="1" customWidth="1"/>
    <col min="15" max="15" width="9.28515625" bestFit="1" customWidth="1"/>
  </cols>
  <sheetData>
    <row r="1" spans="1:15" ht="20.45">
      <c r="A1" s="22" t="s">
        <v>76</v>
      </c>
    </row>
    <row r="3" spans="1:15">
      <c r="A3" s="23" t="s">
        <v>1</v>
      </c>
      <c r="B3" s="24">
        <v>2022</v>
      </c>
      <c r="C3" s="24">
        <v>2022</v>
      </c>
      <c r="D3" s="24">
        <v>2022</v>
      </c>
      <c r="E3" s="24">
        <v>2022</v>
      </c>
      <c r="F3" s="24">
        <v>2022</v>
      </c>
      <c r="G3" s="24">
        <v>2022</v>
      </c>
      <c r="H3" s="24">
        <v>2022</v>
      </c>
      <c r="I3" s="24">
        <v>2022</v>
      </c>
      <c r="J3" s="24">
        <v>2023</v>
      </c>
      <c r="K3" s="24">
        <v>2023</v>
      </c>
      <c r="L3" s="24">
        <v>2023</v>
      </c>
      <c r="M3" s="24">
        <v>2023</v>
      </c>
      <c r="N3" s="24">
        <v>2023</v>
      </c>
    </row>
    <row r="4" spans="1:15" ht="43.15">
      <c r="A4" s="25" t="s">
        <v>2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42</v>
      </c>
      <c r="G4" s="26" t="s">
        <v>43</v>
      </c>
      <c r="H4" s="26" t="s">
        <v>44</v>
      </c>
      <c r="I4" s="26" t="s">
        <v>45</v>
      </c>
      <c r="J4" s="26" t="s">
        <v>31</v>
      </c>
      <c r="K4" s="26" t="s">
        <v>35</v>
      </c>
      <c r="L4" s="26" t="s">
        <v>36</v>
      </c>
      <c r="M4" s="26" t="s">
        <v>37</v>
      </c>
      <c r="N4" s="26" t="s">
        <v>38</v>
      </c>
      <c r="O4" s="27" t="s">
        <v>77</v>
      </c>
    </row>
    <row r="5" spans="1:15">
      <c r="A5" s="7" t="s">
        <v>3</v>
      </c>
      <c r="B5" s="6">
        <v>154.1</v>
      </c>
      <c r="C5" s="6">
        <v>155</v>
      </c>
      <c r="D5" s="6">
        <v>156.5</v>
      </c>
      <c r="E5" s="6">
        <v>160.30000000000001</v>
      </c>
      <c r="F5" s="6">
        <v>163.5</v>
      </c>
      <c r="G5" s="6">
        <v>165.2</v>
      </c>
      <c r="H5" s="6">
        <v>167.4</v>
      </c>
      <c r="I5" s="6">
        <v>169.2</v>
      </c>
      <c r="J5" s="6">
        <v>173.8</v>
      </c>
      <c r="K5" s="6">
        <v>174.4</v>
      </c>
      <c r="L5" s="6">
        <v>174.4</v>
      </c>
      <c r="M5" s="6">
        <v>173.8</v>
      </c>
      <c r="N5" s="6">
        <v>173.7</v>
      </c>
      <c r="O5" s="28">
        <f>(N5-PS_3!B5)/PS_3!B5*100</f>
        <v>12.719013627514597</v>
      </c>
    </row>
    <row r="6" spans="1:15">
      <c r="A6" s="7" t="s">
        <v>4</v>
      </c>
      <c r="B6" s="6">
        <v>217</v>
      </c>
      <c r="C6" s="6">
        <v>219.4</v>
      </c>
      <c r="D6" s="6">
        <v>213</v>
      </c>
      <c r="E6" s="6">
        <v>206.5</v>
      </c>
      <c r="F6" s="6">
        <v>209.2</v>
      </c>
      <c r="G6" s="6">
        <v>210.9</v>
      </c>
      <c r="H6" s="6">
        <v>209.4</v>
      </c>
      <c r="I6" s="6">
        <v>209</v>
      </c>
      <c r="J6" s="6">
        <v>210.7</v>
      </c>
      <c r="K6" s="6">
        <v>207.7</v>
      </c>
      <c r="L6" s="6">
        <v>207.7</v>
      </c>
      <c r="M6" s="6">
        <v>209.3</v>
      </c>
      <c r="N6" s="6">
        <v>214.3</v>
      </c>
      <c r="O6" s="28">
        <f>(N6-PS_3!B6)/PS_3!B6*100</f>
        <v>-1.2442396313364004</v>
      </c>
    </row>
    <row r="7" spans="1:15">
      <c r="A7" s="7" t="s">
        <v>5</v>
      </c>
      <c r="B7" s="6">
        <v>162.4</v>
      </c>
      <c r="C7" s="6">
        <v>170.8</v>
      </c>
      <c r="D7" s="6">
        <v>175.2</v>
      </c>
      <c r="E7" s="6">
        <v>169.2</v>
      </c>
      <c r="F7" s="6">
        <v>169.7</v>
      </c>
      <c r="G7" s="6">
        <v>170.9</v>
      </c>
      <c r="H7" s="6">
        <v>181.4</v>
      </c>
      <c r="I7" s="6">
        <v>190.2</v>
      </c>
      <c r="J7" s="6">
        <v>194.5</v>
      </c>
      <c r="K7" s="6">
        <v>175.2</v>
      </c>
      <c r="L7" s="6">
        <v>175.2</v>
      </c>
      <c r="M7" s="6">
        <v>169.6</v>
      </c>
      <c r="N7" s="6">
        <v>173.2</v>
      </c>
      <c r="O7" s="28">
        <f>(N7-PS_3!B7)/PS_3!B7*100</f>
        <v>6.6502463054187082</v>
      </c>
    </row>
    <row r="8" spans="1:15">
      <c r="A8" s="7" t="s">
        <v>6</v>
      </c>
      <c r="B8" s="6">
        <v>164.9</v>
      </c>
      <c r="C8" s="6">
        <v>165.8</v>
      </c>
      <c r="D8" s="6">
        <v>166.6</v>
      </c>
      <c r="E8" s="6">
        <v>168.1</v>
      </c>
      <c r="F8" s="6">
        <v>169.7</v>
      </c>
      <c r="G8" s="6">
        <v>170.9</v>
      </c>
      <c r="H8" s="6">
        <v>172.3</v>
      </c>
      <c r="I8" s="6">
        <v>173.6</v>
      </c>
      <c r="J8" s="6">
        <v>174.6</v>
      </c>
      <c r="K8" s="6">
        <v>177.3</v>
      </c>
      <c r="L8" s="6">
        <v>177.3</v>
      </c>
      <c r="M8" s="6">
        <v>178.4</v>
      </c>
      <c r="N8" s="6">
        <v>179.5</v>
      </c>
      <c r="O8" s="28">
        <f>(N8-PS_3!B8)/PS_3!B8*100</f>
        <v>8.8538508186779836</v>
      </c>
    </row>
    <row r="9" spans="1:15">
      <c r="A9" s="7" t="s">
        <v>7</v>
      </c>
      <c r="B9" s="6">
        <v>202.4</v>
      </c>
      <c r="C9" s="6">
        <v>200.9</v>
      </c>
      <c r="D9" s="6">
        <v>195.8</v>
      </c>
      <c r="E9" s="6">
        <v>192.4</v>
      </c>
      <c r="F9" s="6">
        <v>188.7</v>
      </c>
      <c r="G9" s="6">
        <v>186.5</v>
      </c>
      <c r="H9" s="6">
        <v>188.9</v>
      </c>
      <c r="I9" s="6">
        <v>188.5</v>
      </c>
      <c r="J9" s="6">
        <v>187.2</v>
      </c>
      <c r="K9" s="6">
        <v>179.3</v>
      </c>
      <c r="L9" s="6">
        <v>179.2</v>
      </c>
      <c r="M9" s="6">
        <v>174.9</v>
      </c>
      <c r="N9" s="6">
        <v>170</v>
      </c>
      <c r="O9" s="28">
        <f>(N9-PS_3!B9)/PS_3!B9*100</f>
        <v>-16.007905138339922</v>
      </c>
    </row>
    <row r="10" spans="1:15">
      <c r="A10" s="7" t="s">
        <v>8</v>
      </c>
      <c r="B10" s="6">
        <v>171</v>
      </c>
      <c r="C10" s="6">
        <v>169.7</v>
      </c>
      <c r="D10" s="6">
        <v>174.2</v>
      </c>
      <c r="E10" s="6">
        <v>172.9</v>
      </c>
      <c r="F10" s="6">
        <v>165.7</v>
      </c>
      <c r="G10" s="6">
        <v>163.80000000000001</v>
      </c>
      <c r="H10" s="6">
        <v>160.69999999999999</v>
      </c>
      <c r="I10" s="6">
        <v>158</v>
      </c>
      <c r="J10" s="6">
        <v>158.30000000000001</v>
      </c>
      <c r="K10" s="6">
        <v>169.5</v>
      </c>
      <c r="L10" s="6">
        <v>169.5</v>
      </c>
      <c r="M10" s="6">
        <v>176.3</v>
      </c>
      <c r="N10" s="6">
        <v>172.2</v>
      </c>
      <c r="O10" s="28">
        <f>(N10-PS_3!B10)/PS_3!B10*100</f>
        <v>0.70175438596490558</v>
      </c>
    </row>
    <row r="11" spans="1:15">
      <c r="A11" s="7" t="s">
        <v>9</v>
      </c>
      <c r="B11" s="6">
        <v>174.9</v>
      </c>
      <c r="C11" s="6">
        <v>182.3</v>
      </c>
      <c r="D11" s="6">
        <v>182.1</v>
      </c>
      <c r="E11" s="6">
        <v>186.7</v>
      </c>
      <c r="F11" s="6">
        <v>191.8</v>
      </c>
      <c r="G11" s="6">
        <v>199.7</v>
      </c>
      <c r="H11" s="6">
        <v>183.1</v>
      </c>
      <c r="I11" s="6">
        <v>159.9</v>
      </c>
      <c r="J11" s="6">
        <v>153.9</v>
      </c>
      <c r="K11" s="6">
        <v>152.69999999999999</v>
      </c>
      <c r="L11" s="6">
        <v>152.80000000000001</v>
      </c>
      <c r="M11" s="6">
        <v>155.4</v>
      </c>
      <c r="N11" s="6">
        <v>161</v>
      </c>
      <c r="O11" s="28">
        <f>(N11-PS_3!B11)/PS_3!B11*100</f>
        <v>-7.9473985134362515</v>
      </c>
    </row>
    <row r="12" spans="1:15">
      <c r="A12" s="7" t="s">
        <v>10</v>
      </c>
      <c r="B12" s="6">
        <v>164.7</v>
      </c>
      <c r="C12" s="6">
        <v>164.3</v>
      </c>
      <c r="D12" s="6">
        <v>164.3</v>
      </c>
      <c r="E12" s="6">
        <v>167.2</v>
      </c>
      <c r="F12" s="6">
        <v>169.1</v>
      </c>
      <c r="G12" s="6">
        <v>169.8</v>
      </c>
      <c r="H12" s="6">
        <v>170.5</v>
      </c>
      <c r="I12" s="6">
        <v>170.8</v>
      </c>
      <c r="J12" s="6">
        <v>170.9</v>
      </c>
      <c r="K12" s="6">
        <v>171</v>
      </c>
      <c r="L12" s="6">
        <v>171.1</v>
      </c>
      <c r="M12" s="6">
        <v>173.4</v>
      </c>
      <c r="N12" s="6">
        <v>175.6</v>
      </c>
      <c r="O12" s="28">
        <f>(N12-PS_3!B12)/PS_3!B12*100</f>
        <v>6.6180935033394093</v>
      </c>
    </row>
    <row r="13" spans="1:15">
      <c r="A13" s="7" t="s">
        <v>11</v>
      </c>
      <c r="B13" s="6">
        <v>119.7</v>
      </c>
      <c r="C13" s="6">
        <v>119.9</v>
      </c>
      <c r="D13" s="6">
        <v>120</v>
      </c>
      <c r="E13" s="6">
        <v>120.9</v>
      </c>
      <c r="F13" s="6">
        <v>121.6</v>
      </c>
      <c r="G13" s="6">
        <v>121.9</v>
      </c>
      <c r="H13" s="6">
        <v>122.1</v>
      </c>
      <c r="I13" s="6">
        <v>121.8</v>
      </c>
      <c r="J13" s="6">
        <v>121.1</v>
      </c>
      <c r="K13" s="6">
        <v>120</v>
      </c>
      <c r="L13" s="6">
        <v>120</v>
      </c>
      <c r="M13" s="6">
        <v>121.3</v>
      </c>
      <c r="N13" s="6">
        <v>122.7</v>
      </c>
      <c r="O13" s="28">
        <f>(N13-PS_3!B13)/PS_3!B13*100</f>
        <v>2.5062656641604009</v>
      </c>
    </row>
    <row r="14" spans="1:15">
      <c r="A14" s="7" t="s">
        <v>12</v>
      </c>
      <c r="B14" s="6">
        <v>184.9</v>
      </c>
      <c r="C14" s="6">
        <v>187.1</v>
      </c>
      <c r="D14" s="6">
        <v>190</v>
      </c>
      <c r="E14" s="6">
        <v>193.6</v>
      </c>
      <c r="F14" s="6">
        <v>197.3</v>
      </c>
      <c r="G14" s="6">
        <v>199.9</v>
      </c>
      <c r="H14" s="6">
        <v>202.8</v>
      </c>
      <c r="I14" s="6">
        <v>205.2</v>
      </c>
      <c r="J14" s="6">
        <v>208.4</v>
      </c>
      <c r="K14" s="6">
        <v>209.7</v>
      </c>
      <c r="L14" s="6">
        <v>209.7</v>
      </c>
      <c r="M14" s="6">
        <v>212.9</v>
      </c>
      <c r="N14" s="6">
        <v>218</v>
      </c>
      <c r="O14" s="28">
        <f>(N14-PS_3!B14)/PS_3!B14*100</f>
        <v>17.901568415359652</v>
      </c>
    </row>
    <row r="15" spans="1:15">
      <c r="A15" s="7" t="s">
        <v>13</v>
      </c>
      <c r="B15" s="6">
        <v>167.1</v>
      </c>
      <c r="C15" s="6">
        <v>167.9</v>
      </c>
      <c r="D15" s="6">
        <v>168.4</v>
      </c>
      <c r="E15" s="6">
        <v>168.8</v>
      </c>
      <c r="F15" s="6">
        <v>169.4</v>
      </c>
      <c r="G15" s="6">
        <v>169.9</v>
      </c>
      <c r="H15" s="6">
        <v>170.4</v>
      </c>
      <c r="I15" s="6">
        <v>171</v>
      </c>
      <c r="J15" s="6">
        <v>171.4</v>
      </c>
      <c r="K15" s="6">
        <v>172.3</v>
      </c>
      <c r="L15" s="6">
        <v>172.3</v>
      </c>
      <c r="M15" s="6">
        <v>172.9</v>
      </c>
      <c r="N15" s="6">
        <v>173.4</v>
      </c>
      <c r="O15" s="28">
        <f>(N15-PS_3!B15)/PS_3!B15*100</f>
        <v>3.7701974865350159</v>
      </c>
    </row>
    <row r="16" spans="1:15">
      <c r="A16" s="7" t="s">
        <v>14</v>
      </c>
      <c r="B16" s="6">
        <v>182.5</v>
      </c>
      <c r="C16" s="6">
        <v>183.9</v>
      </c>
      <c r="D16" s="6">
        <v>185.2</v>
      </c>
      <c r="E16" s="6">
        <v>186.3</v>
      </c>
      <c r="F16" s="6">
        <v>187.4</v>
      </c>
      <c r="G16" s="6">
        <v>188.3</v>
      </c>
      <c r="H16" s="6">
        <v>189.5</v>
      </c>
      <c r="I16" s="6">
        <v>190.3</v>
      </c>
      <c r="J16" s="6">
        <v>191.2</v>
      </c>
      <c r="K16" s="6">
        <v>193</v>
      </c>
      <c r="L16" s="6">
        <v>193</v>
      </c>
      <c r="M16" s="6">
        <v>193.5</v>
      </c>
      <c r="N16" s="6">
        <v>194.2</v>
      </c>
      <c r="O16" s="28">
        <f>(N16-PS_3!B16)/PS_3!B16*100</f>
        <v>6.4109589041095827</v>
      </c>
    </row>
    <row r="17" spans="1:15">
      <c r="A17" s="7" t="s">
        <v>15</v>
      </c>
      <c r="B17" s="6">
        <v>173.3</v>
      </c>
      <c r="C17" s="6">
        <v>174.9</v>
      </c>
      <c r="D17" s="6">
        <v>175</v>
      </c>
      <c r="E17" s="6">
        <v>176.3</v>
      </c>
      <c r="F17" s="6">
        <v>177.8</v>
      </c>
      <c r="G17" s="6">
        <v>179.6</v>
      </c>
      <c r="H17" s="6">
        <v>178.3</v>
      </c>
      <c r="I17" s="6">
        <v>175.9</v>
      </c>
      <c r="J17" s="6">
        <v>176.7</v>
      </c>
      <c r="K17" s="6">
        <v>177</v>
      </c>
      <c r="L17" s="6">
        <v>177</v>
      </c>
      <c r="M17" s="6">
        <v>177.9</v>
      </c>
      <c r="N17" s="6">
        <v>179.1</v>
      </c>
      <c r="O17" s="28">
        <f>(N17-PS_3!B17)/PS_3!B17*100</f>
        <v>3.3467974610501918</v>
      </c>
    </row>
    <row r="18" spans="1:15">
      <c r="A18" s="7" t="s">
        <v>16</v>
      </c>
      <c r="B18" s="6">
        <v>194.1</v>
      </c>
      <c r="C18" s="6">
        <v>194.3</v>
      </c>
      <c r="D18" s="6">
        <v>194.6</v>
      </c>
      <c r="E18" s="6">
        <v>195</v>
      </c>
      <c r="F18" s="6">
        <v>195.9</v>
      </c>
      <c r="G18" s="6">
        <v>196.3</v>
      </c>
      <c r="H18" s="6">
        <v>196.9</v>
      </c>
      <c r="I18" s="6">
        <v>197.3</v>
      </c>
      <c r="J18" s="6">
        <v>198.2</v>
      </c>
      <c r="K18" s="6">
        <v>199.5</v>
      </c>
      <c r="L18" s="6">
        <v>199.5</v>
      </c>
      <c r="M18" s="6">
        <v>200.6</v>
      </c>
      <c r="N18" s="6">
        <v>201</v>
      </c>
      <c r="O18" s="28">
        <f>(N18-PS_3!B18)/PS_3!B18*100</f>
        <v>3.5548686244204051</v>
      </c>
    </row>
    <row r="19" spans="1:15">
      <c r="A19" s="7" t="s">
        <v>17</v>
      </c>
      <c r="B19" s="6">
        <v>175.6</v>
      </c>
      <c r="C19" s="6">
        <v>177.1</v>
      </c>
      <c r="D19" s="6">
        <v>178.3</v>
      </c>
      <c r="E19" s="6">
        <v>179.5</v>
      </c>
      <c r="F19" s="6">
        <v>180.9</v>
      </c>
      <c r="G19" s="6">
        <v>181.9</v>
      </c>
      <c r="H19" s="6">
        <v>183.1</v>
      </c>
      <c r="I19" s="6">
        <v>184</v>
      </c>
      <c r="J19" s="6">
        <v>184.9</v>
      </c>
      <c r="K19" s="6">
        <v>186.2</v>
      </c>
      <c r="L19" s="6">
        <v>186.1</v>
      </c>
      <c r="M19" s="6">
        <v>186.9</v>
      </c>
      <c r="N19" s="6">
        <v>187.3</v>
      </c>
      <c r="O19" s="28">
        <f>(N19-PS_3!B19)/PS_3!B19*100</f>
        <v>6.6628701594533126</v>
      </c>
    </row>
    <row r="20" spans="1:15">
      <c r="A20" s="7" t="s">
        <v>18</v>
      </c>
      <c r="B20" s="6">
        <v>168.4</v>
      </c>
      <c r="C20" s="6">
        <v>169.9</v>
      </c>
      <c r="D20" s="6">
        <v>171.3</v>
      </c>
      <c r="E20" s="6">
        <v>172.7</v>
      </c>
      <c r="F20" s="6">
        <v>174.3</v>
      </c>
      <c r="G20" s="6">
        <v>175.3</v>
      </c>
      <c r="H20" s="6">
        <v>176.2</v>
      </c>
      <c r="I20" s="6">
        <v>177</v>
      </c>
      <c r="J20" s="6">
        <v>177.6</v>
      </c>
      <c r="K20" s="6">
        <v>178.7</v>
      </c>
      <c r="L20" s="6">
        <v>178.7</v>
      </c>
      <c r="M20" s="6">
        <v>179.2</v>
      </c>
      <c r="N20" s="6">
        <v>179.7</v>
      </c>
      <c r="O20" s="28">
        <f>(N20-PS_3!B20)/PS_3!B20*100</f>
        <v>6.7102137767220791</v>
      </c>
    </row>
    <row r="21" spans="1:15">
      <c r="A21" s="7" t="s">
        <v>19</v>
      </c>
      <c r="B21" s="6">
        <v>174.6</v>
      </c>
      <c r="C21" s="6">
        <v>176</v>
      </c>
      <c r="D21" s="6">
        <v>177.3</v>
      </c>
      <c r="E21" s="6">
        <v>178.5</v>
      </c>
      <c r="F21" s="6">
        <v>179.9</v>
      </c>
      <c r="G21" s="6">
        <v>181</v>
      </c>
      <c r="H21" s="6">
        <v>182.1</v>
      </c>
      <c r="I21" s="6">
        <v>183</v>
      </c>
      <c r="J21" s="6">
        <v>183.8</v>
      </c>
      <c r="K21" s="6">
        <v>185.1</v>
      </c>
      <c r="L21" s="6">
        <v>185.1</v>
      </c>
      <c r="M21" s="6">
        <v>185.7</v>
      </c>
      <c r="N21" s="6">
        <v>186.2</v>
      </c>
      <c r="O21" s="28">
        <f>(N21-PS_3!B21)/PS_3!B21*100</f>
        <v>6.6437571592210736</v>
      </c>
    </row>
    <row r="22" spans="1:15">
      <c r="A22" s="7" t="s">
        <v>20</v>
      </c>
      <c r="B22" s="6">
        <v>167.5</v>
      </c>
      <c r="C22" s="6">
        <v>166.8</v>
      </c>
      <c r="D22" s="6">
        <v>167.8</v>
      </c>
      <c r="E22" s="6">
        <v>169</v>
      </c>
      <c r="F22" s="6">
        <v>169.5</v>
      </c>
      <c r="G22" s="6">
        <v>171.2</v>
      </c>
      <c r="H22" s="6">
        <v>171.8</v>
      </c>
      <c r="I22" s="6">
        <v>170.7</v>
      </c>
      <c r="J22" s="6">
        <v>172.1</v>
      </c>
      <c r="K22" s="6">
        <v>173.5</v>
      </c>
      <c r="L22" s="6">
        <v>173.5</v>
      </c>
      <c r="M22" s="6">
        <v>175.2</v>
      </c>
      <c r="N22" s="6">
        <v>175.6</v>
      </c>
      <c r="O22" s="28">
        <f>(N22-PS_3!B22)/PS_3!B22*100</f>
        <v>4.8358208955223843</v>
      </c>
    </row>
    <row r="23" spans="1:15">
      <c r="A23" s="7" t="s">
        <v>21</v>
      </c>
      <c r="B23" s="6">
        <v>174.6</v>
      </c>
      <c r="C23" s="6">
        <v>176</v>
      </c>
      <c r="D23" s="6">
        <v>179.6</v>
      </c>
      <c r="E23" s="6">
        <v>178.8</v>
      </c>
      <c r="F23" s="6">
        <v>179.5</v>
      </c>
      <c r="G23" s="6">
        <v>180.5</v>
      </c>
      <c r="H23" s="6">
        <v>181.3</v>
      </c>
      <c r="I23" s="6">
        <v>182</v>
      </c>
      <c r="J23" s="6">
        <v>182</v>
      </c>
      <c r="K23" s="6">
        <v>182.1</v>
      </c>
      <c r="L23" s="6">
        <v>181.9</v>
      </c>
      <c r="M23" s="6">
        <v>181.7</v>
      </c>
      <c r="N23" s="6">
        <v>182.8</v>
      </c>
      <c r="O23" s="28">
        <f>(N23-PS_3!B23)/PS_3!B23*100</f>
        <v>4.6964490263459435</v>
      </c>
    </row>
    <row r="24" spans="1:15">
      <c r="A24" s="7" t="s">
        <v>22</v>
      </c>
      <c r="B24" s="6">
        <v>165.2</v>
      </c>
      <c r="C24" s="6">
        <v>166.4</v>
      </c>
      <c r="D24" s="6">
        <v>167.4</v>
      </c>
      <c r="E24" s="6">
        <v>168.5</v>
      </c>
      <c r="F24" s="6">
        <v>169.5</v>
      </c>
      <c r="G24" s="6">
        <v>170.4</v>
      </c>
      <c r="H24" s="6">
        <v>171.4</v>
      </c>
      <c r="I24" s="6">
        <v>172.1</v>
      </c>
      <c r="J24" s="6">
        <v>172.9</v>
      </c>
      <c r="K24" s="6">
        <v>174.2</v>
      </c>
      <c r="L24" s="6">
        <v>174.2</v>
      </c>
      <c r="M24" s="6">
        <v>174.6</v>
      </c>
      <c r="N24" s="6">
        <v>175.2</v>
      </c>
      <c r="O24" s="28">
        <f>(N24-PS_3!B24)/PS_3!B24*100</f>
        <v>6.0532687651331729</v>
      </c>
    </row>
    <row r="25" spans="1:15">
      <c r="A25" s="7" t="s">
        <v>23</v>
      </c>
      <c r="B25" s="6">
        <v>174.8</v>
      </c>
      <c r="C25" s="6">
        <v>175.4</v>
      </c>
      <c r="D25" s="6">
        <v>176.1</v>
      </c>
      <c r="E25" s="6">
        <v>176.8</v>
      </c>
      <c r="F25" s="6">
        <v>177.8</v>
      </c>
      <c r="G25" s="6">
        <v>178.7</v>
      </c>
      <c r="H25" s="6">
        <v>179.8</v>
      </c>
      <c r="I25" s="6">
        <v>181.1</v>
      </c>
      <c r="J25" s="6">
        <v>182.3</v>
      </c>
      <c r="K25" s="6">
        <v>184.4</v>
      </c>
      <c r="L25" s="6">
        <v>184.4</v>
      </c>
      <c r="M25" s="6">
        <v>185</v>
      </c>
      <c r="N25" s="6">
        <v>185.7</v>
      </c>
      <c r="O25" s="28">
        <f>(N25-PS_3!B25)/PS_3!B25*100</f>
        <v>6.2356979405034192</v>
      </c>
    </row>
    <row r="26" spans="1:15">
      <c r="A26" s="7" t="s">
        <v>24</v>
      </c>
      <c r="B26" s="6">
        <v>163</v>
      </c>
      <c r="C26" s="6">
        <v>161.1</v>
      </c>
      <c r="D26" s="6">
        <v>161.6</v>
      </c>
      <c r="E26" s="6">
        <v>161.9</v>
      </c>
      <c r="F26" s="6">
        <v>162.30000000000001</v>
      </c>
      <c r="G26" s="6">
        <v>162.9</v>
      </c>
      <c r="H26" s="6">
        <v>163</v>
      </c>
      <c r="I26" s="6">
        <v>163.4</v>
      </c>
      <c r="J26" s="6">
        <v>163.6</v>
      </c>
      <c r="K26" s="6">
        <v>164.2</v>
      </c>
      <c r="L26" s="6">
        <v>164.2</v>
      </c>
      <c r="M26" s="6">
        <v>164.5</v>
      </c>
      <c r="N26" s="6">
        <v>164.8</v>
      </c>
      <c r="O26" s="28">
        <f>(N26-PS_3!B26)/PS_3!B26*100</f>
        <v>1.1042944785276143</v>
      </c>
    </row>
    <row r="27" spans="1:15">
      <c r="A27" s="7" t="s">
        <v>25</v>
      </c>
      <c r="B27" s="6">
        <v>165.1</v>
      </c>
      <c r="C27" s="6">
        <v>165.8</v>
      </c>
      <c r="D27" s="6">
        <v>166.3</v>
      </c>
      <c r="E27" s="6">
        <v>166.9</v>
      </c>
      <c r="F27" s="6">
        <v>167.6</v>
      </c>
      <c r="G27" s="6">
        <v>168.2</v>
      </c>
      <c r="H27" s="6">
        <v>168.5</v>
      </c>
      <c r="I27" s="6">
        <v>168.9</v>
      </c>
      <c r="J27" s="6">
        <v>169.5</v>
      </c>
      <c r="K27" s="6">
        <v>170.3</v>
      </c>
      <c r="L27" s="6">
        <v>170.3</v>
      </c>
      <c r="M27" s="6">
        <v>170.7</v>
      </c>
      <c r="N27" s="6">
        <v>171.2</v>
      </c>
      <c r="O27" s="28">
        <f>(N27-PS_3!B27)/PS_3!B27*100</f>
        <v>3.6947304663840068</v>
      </c>
    </row>
    <row r="28" spans="1:15">
      <c r="A28" s="7" t="s">
        <v>26</v>
      </c>
      <c r="B28" s="6">
        <v>167.9</v>
      </c>
      <c r="C28" s="6">
        <v>169</v>
      </c>
      <c r="D28" s="6">
        <v>171.4</v>
      </c>
      <c r="E28" s="6">
        <v>172.3</v>
      </c>
      <c r="F28" s="6">
        <v>173.1</v>
      </c>
      <c r="G28" s="6">
        <v>173.4</v>
      </c>
      <c r="H28" s="6">
        <v>173.7</v>
      </c>
      <c r="I28" s="6">
        <v>174.1</v>
      </c>
      <c r="J28" s="6">
        <v>174.3</v>
      </c>
      <c r="K28" s="6">
        <v>175</v>
      </c>
      <c r="L28" s="6">
        <v>175</v>
      </c>
      <c r="M28" s="6">
        <v>176.4</v>
      </c>
      <c r="N28" s="6">
        <v>177.1</v>
      </c>
      <c r="O28" s="28">
        <f>(N28-PS_3!B28)/PS_3!B28*100</f>
        <v>5.4794520547945131</v>
      </c>
    </row>
    <row r="29" spans="1:15">
      <c r="A29" s="7" t="s">
        <v>27</v>
      </c>
      <c r="B29" s="6">
        <v>168.4</v>
      </c>
      <c r="C29" s="6">
        <v>169.4</v>
      </c>
      <c r="D29" s="6">
        <v>169.7</v>
      </c>
      <c r="E29" s="6">
        <v>171.2</v>
      </c>
      <c r="F29" s="6">
        <v>170.9</v>
      </c>
      <c r="G29" s="6">
        <v>172.1</v>
      </c>
      <c r="H29" s="6">
        <v>173.6</v>
      </c>
      <c r="I29" s="6">
        <v>175.8</v>
      </c>
      <c r="J29" s="6">
        <v>178.6</v>
      </c>
      <c r="K29" s="6">
        <v>181</v>
      </c>
      <c r="L29" s="6">
        <v>181</v>
      </c>
      <c r="M29" s="6">
        <v>184</v>
      </c>
      <c r="N29" s="6">
        <v>185.2</v>
      </c>
      <c r="O29" s="28">
        <f>(N29-PS_3!B29)/PS_3!B29*100</f>
        <v>9.9762470308788505</v>
      </c>
    </row>
    <row r="30" spans="1:15">
      <c r="A30" s="7" t="s">
        <v>28</v>
      </c>
      <c r="B30" s="6">
        <v>167.5</v>
      </c>
      <c r="C30" s="6">
        <v>167.5</v>
      </c>
      <c r="D30" s="6">
        <v>168.4</v>
      </c>
      <c r="E30" s="6">
        <v>169.1</v>
      </c>
      <c r="F30" s="6">
        <v>169.7</v>
      </c>
      <c r="G30" s="6">
        <v>170.5</v>
      </c>
      <c r="H30" s="6">
        <v>171.1</v>
      </c>
      <c r="I30" s="6">
        <v>172</v>
      </c>
      <c r="J30" s="6">
        <v>172.8</v>
      </c>
      <c r="K30" s="6">
        <v>174.1</v>
      </c>
      <c r="L30" s="6">
        <v>174.1</v>
      </c>
      <c r="M30" s="6">
        <v>175</v>
      </c>
      <c r="N30" s="6">
        <v>175.7</v>
      </c>
      <c r="O30" s="28">
        <f>(N30-PS_3!B30)/PS_3!B30*100</f>
        <v>4.8955223880596952</v>
      </c>
    </row>
    <row r="31" spans="1:15">
      <c r="A31" s="8" t="s">
        <v>29</v>
      </c>
      <c r="B31" s="6">
        <v>171.7</v>
      </c>
      <c r="C31" s="6">
        <v>172.6</v>
      </c>
      <c r="D31" s="6">
        <v>173.4</v>
      </c>
      <c r="E31" s="6">
        <v>174.3</v>
      </c>
      <c r="F31" s="6">
        <v>175.3</v>
      </c>
      <c r="G31" s="6">
        <v>176.7</v>
      </c>
      <c r="H31" s="6">
        <v>176.5</v>
      </c>
      <c r="I31" s="6">
        <v>175.7</v>
      </c>
      <c r="J31" s="6">
        <v>176.5</v>
      </c>
      <c r="K31" s="6">
        <v>177.2</v>
      </c>
      <c r="L31" s="6">
        <v>177.2</v>
      </c>
      <c r="M31" s="6">
        <v>178.1</v>
      </c>
      <c r="N31" s="6">
        <v>179.1</v>
      </c>
      <c r="O31" s="28">
        <f>(N31-PS_3!B31)/PS_3!B31*100</f>
        <v>4.3098427489807838</v>
      </c>
    </row>
    <row r="32" spans="1:15">
      <c r="A32" s="8" t="s">
        <v>60</v>
      </c>
      <c r="B32" s="6">
        <f t="shared" ref="B32:N32" si="0">B17+B16+B15+B14+B13+B12+B11+B10+B9+B8+B7+B6+B5</f>
        <v>2238.9</v>
      </c>
      <c r="C32" s="6">
        <f t="shared" si="0"/>
        <v>2261.9</v>
      </c>
      <c r="D32" s="6">
        <f t="shared" si="0"/>
        <v>2266.3000000000002</v>
      </c>
      <c r="E32" s="6">
        <f t="shared" si="0"/>
        <v>2269.2000000000007</v>
      </c>
      <c r="F32" s="6">
        <f t="shared" si="0"/>
        <v>2280.9</v>
      </c>
      <c r="G32" s="6">
        <f t="shared" si="0"/>
        <v>2297.2999999999997</v>
      </c>
      <c r="H32" s="6">
        <f t="shared" si="0"/>
        <v>2296.8000000000002</v>
      </c>
      <c r="I32" s="6">
        <f t="shared" si="0"/>
        <v>2283.3999999999996</v>
      </c>
      <c r="J32" s="6">
        <f t="shared" si="0"/>
        <v>2292.7000000000003</v>
      </c>
      <c r="K32" s="6">
        <f t="shared" si="0"/>
        <v>2279.1</v>
      </c>
      <c r="L32" s="6">
        <f t="shared" si="0"/>
        <v>2279.1999999999998</v>
      </c>
      <c r="M32" s="6">
        <f t="shared" si="0"/>
        <v>2289.6000000000004</v>
      </c>
      <c r="N32" s="6">
        <f t="shared" si="0"/>
        <v>2306.9</v>
      </c>
      <c r="O32" s="28">
        <f>(N32-PS_3!B32)/PS_3!B32*100</f>
        <v>3.0372057706909641</v>
      </c>
    </row>
    <row r="33" spans="1:15">
      <c r="A33" s="8" t="s">
        <v>49</v>
      </c>
      <c r="B33" s="6">
        <f t="shared" ref="B33:N33" si="1">SUM(B19:B21)</f>
        <v>518.6</v>
      </c>
      <c r="C33" s="6">
        <f t="shared" si="1"/>
        <v>523</v>
      </c>
      <c r="D33" s="6">
        <f t="shared" si="1"/>
        <v>526.90000000000009</v>
      </c>
      <c r="E33" s="6">
        <f t="shared" si="1"/>
        <v>530.70000000000005</v>
      </c>
      <c r="F33" s="6">
        <f t="shared" si="1"/>
        <v>535.1</v>
      </c>
      <c r="G33" s="6">
        <f t="shared" si="1"/>
        <v>538.20000000000005</v>
      </c>
      <c r="H33" s="6">
        <f t="shared" si="1"/>
        <v>541.4</v>
      </c>
      <c r="I33" s="6">
        <f t="shared" si="1"/>
        <v>544</v>
      </c>
      <c r="J33" s="6">
        <f t="shared" si="1"/>
        <v>546.29999999999995</v>
      </c>
      <c r="K33" s="6">
        <f t="shared" si="1"/>
        <v>550</v>
      </c>
      <c r="L33" s="6">
        <f t="shared" si="1"/>
        <v>549.9</v>
      </c>
      <c r="M33" s="6">
        <f t="shared" si="1"/>
        <v>551.79999999999995</v>
      </c>
      <c r="N33" s="6">
        <f t="shared" si="1"/>
        <v>553.20000000000005</v>
      </c>
      <c r="O33" s="28">
        <f>(N33-PS_3!B33)/PS_3!B33*100</f>
        <v>6.6718087157732393</v>
      </c>
    </row>
    <row r="34" spans="1:15">
      <c r="A34" s="8" t="s">
        <v>50</v>
      </c>
      <c r="B34" s="6">
        <f t="shared" ref="B34:N34" si="2">SUM(B26,B28,B27)</f>
        <v>496</v>
      </c>
      <c r="C34" s="6">
        <f t="shared" si="2"/>
        <v>495.90000000000003</v>
      </c>
      <c r="D34" s="6">
        <f t="shared" si="2"/>
        <v>499.3</v>
      </c>
      <c r="E34" s="6">
        <f t="shared" si="2"/>
        <v>501.1</v>
      </c>
      <c r="F34" s="6">
        <f t="shared" si="2"/>
        <v>503</v>
      </c>
      <c r="G34" s="6">
        <f t="shared" si="2"/>
        <v>504.5</v>
      </c>
      <c r="H34" s="6">
        <f t="shared" si="2"/>
        <v>505.2</v>
      </c>
      <c r="I34" s="6">
        <f t="shared" si="2"/>
        <v>506.4</v>
      </c>
      <c r="J34" s="6">
        <f t="shared" si="2"/>
        <v>507.4</v>
      </c>
      <c r="K34" s="6">
        <f t="shared" si="2"/>
        <v>509.5</v>
      </c>
      <c r="L34" s="6">
        <f t="shared" si="2"/>
        <v>509.5</v>
      </c>
      <c r="M34" s="6">
        <f t="shared" si="2"/>
        <v>511.59999999999997</v>
      </c>
      <c r="N34" s="6">
        <f t="shared" si="2"/>
        <v>513.09999999999991</v>
      </c>
      <c r="O34" s="28">
        <f>(N34-PS_3!B34)/PS_3!B34*100</f>
        <v>3.4475806451612718</v>
      </c>
    </row>
    <row r="35" spans="1:15">
      <c r="A35" s="8" t="s">
        <v>51</v>
      </c>
      <c r="B35" s="6">
        <f t="shared" ref="B35:N35" si="3">SUM(B25,B29)</f>
        <v>343.20000000000005</v>
      </c>
      <c r="C35" s="6">
        <f t="shared" si="3"/>
        <v>344.8</v>
      </c>
      <c r="D35" s="6">
        <f t="shared" si="3"/>
        <v>345.79999999999995</v>
      </c>
      <c r="E35" s="6">
        <f t="shared" si="3"/>
        <v>348</v>
      </c>
      <c r="F35" s="6">
        <f t="shared" si="3"/>
        <v>348.70000000000005</v>
      </c>
      <c r="G35" s="6">
        <f t="shared" si="3"/>
        <v>350.79999999999995</v>
      </c>
      <c r="H35" s="6">
        <f t="shared" si="3"/>
        <v>353.4</v>
      </c>
      <c r="I35" s="6">
        <f t="shared" si="3"/>
        <v>356.9</v>
      </c>
      <c r="J35" s="6">
        <f t="shared" si="3"/>
        <v>360.9</v>
      </c>
      <c r="K35" s="6">
        <f t="shared" si="3"/>
        <v>365.4</v>
      </c>
      <c r="L35" s="6">
        <f t="shared" si="3"/>
        <v>365.4</v>
      </c>
      <c r="M35" s="6">
        <f t="shared" si="3"/>
        <v>369</v>
      </c>
      <c r="N35" s="6">
        <f t="shared" si="3"/>
        <v>370.9</v>
      </c>
      <c r="O35" s="28">
        <f>(N35-PS_3!B35)/PS_3!B35*100</f>
        <v>8.071095571095551</v>
      </c>
    </row>
    <row r="36" spans="1:15">
      <c r="A36" s="8" t="s">
        <v>52</v>
      </c>
      <c r="B36" s="6">
        <f t="shared" ref="B36:N36" si="4">SUM(B22,B23,B24)</f>
        <v>507.3</v>
      </c>
      <c r="C36" s="6">
        <f t="shared" si="4"/>
        <v>509.20000000000005</v>
      </c>
      <c r="D36" s="6">
        <f t="shared" si="4"/>
        <v>514.79999999999995</v>
      </c>
      <c r="E36" s="6">
        <f t="shared" si="4"/>
        <v>516.29999999999995</v>
      </c>
      <c r="F36" s="6">
        <f t="shared" si="4"/>
        <v>518.5</v>
      </c>
      <c r="G36" s="6">
        <f t="shared" si="4"/>
        <v>522.1</v>
      </c>
      <c r="H36" s="6">
        <f t="shared" si="4"/>
        <v>524.5</v>
      </c>
      <c r="I36" s="6">
        <f t="shared" si="4"/>
        <v>524.79999999999995</v>
      </c>
      <c r="J36" s="6">
        <f t="shared" si="4"/>
        <v>527</v>
      </c>
      <c r="K36" s="6">
        <f t="shared" si="4"/>
        <v>529.79999999999995</v>
      </c>
      <c r="L36" s="6">
        <f t="shared" si="4"/>
        <v>529.59999999999991</v>
      </c>
      <c r="M36" s="6">
        <f t="shared" si="4"/>
        <v>531.5</v>
      </c>
      <c r="N36" s="6">
        <f t="shared" si="4"/>
        <v>533.59999999999991</v>
      </c>
      <c r="O36" s="28">
        <f>(N36-PS_3!B36)/PS_3!B36*100</f>
        <v>5.1843090873250341</v>
      </c>
    </row>
    <row r="37" spans="1:15">
      <c r="A37" s="8" t="s">
        <v>53</v>
      </c>
      <c r="B37" s="6">
        <f t="shared" ref="B37:N37" si="5">SUM(B30,B18)</f>
        <v>361.6</v>
      </c>
      <c r="C37" s="6">
        <f t="shared" si="5"/>
        <v>361.8</v>
      </c>
      <c r="D37" s="6">
        <f t="shared" si="5"/>
        <v>363</v>
      </c>
      <c r="E37" s="6">
        <f t="shared" si="5"/>
        <v>364.1</v>
      </c>
      <c r="F37" s="6">
        <f t="shared" si="5"/>
        <v>365.6</v>
      </c>
      <c r="G37" s="6">
        <f t="shared" si="5"/>
        <v>366.8</v>
      </c>
      <c r="H37" s="6">
        <f t="shared" si="5"/>
        <v>368</v>
      </c>
      <c r="I37" s="6">
        <f t="shared" si="5"/>
        <v>369.3</v>
      </c>
      <c r="J37" s="6">
        <f t="shared" si="5"/>
        <v>371</v>
      </c>
      <c r="K37" s="6">
        <f t="shared" si="5"/>
        <v>373.6</v>
      </c>
      <c r="L37" s="6">
        <f t="shared" si="5"/>
        <v>373.6</v>
      </c>
      <c r="M37" s="6">
        <f t="shared" si="5"/>
        <v>375.6</v>
      </c>
      <c r="N37" s="6">
        <f t="shared" si="5"/>
        <v>376.7</v>
      </c>
      <c r="O37" s="28">
        <f>(N37-PS_3!B37)/PS_3!B37*100</f>
        <v>4.1758849557522026</v>
      </c>
    </row>
    <row r="40" spans="1:15" ht="16.149999999999999">
      <c r="A40" s="21" t="s">
        <v>78</v>
      </c>
    </row>
    <row r="41" spans="1:15" ht="28.9">
      <c r="A41" s="29" t="s">
        <v>79</v>
      </c>
      <c r="B41" s="30" t="s">
        <v>80</v>
      </c>
    </row>
    <row r="42" spans="1:15">
      <c r="A42" s="31" t="s">
        <v>39</v>
      </c>
      <c r="B42" s="32">
        <f>(C32-B32)/B32*100</f>
        <v>1.0272901871454732</v>
      </c>
      <c r="C42" s="20" t="s">
        <v>81</v>
      </c>
      <c r="N42" s="57" t="s">
        <v>61</v>
      </c>
    </row>
    <row r="43" spans="1:15">
      <c r="A43" s="31" t="s">
        <v>40</v>
      </c>
      <c r="B43" s="32">
        <f>(D32-C32)/C32*100</f>
        <v>0.19452672531942572</v>
      </c>
      <c r="N43" s="20" t="s">
        <v>82</v>
      </c>
    </row>
    <row r="44" spans="1:15">
      <c r="A44" s="31" t="s">
        <v>41</v>
      </c>
      <c r="B44" s="32">
        <f>(E32-D32)/D32*100</f>
        <v>0.12796187618587765</v>
      </c>
      <c r="N44" s="20" t="s">
        <v>83</v>
      </c>
    </row>
    <row r="45" spans="1:15">
      <c r="A45" s="31" t="s">
        <v>42</v>
      </c>
      <c r="B45" s="32">
        <f>(F32-E32)/E32*100</f>
        <v>0.51560021152826363</v>
      </c>
    </row>
    <row r="46" spans="1:15">
      <c r="A46" s="31" t="s">
        <v>43</v>
      </c>
      <c r="B46" s="32">
        <f>(G32-F32)/F32*100</f>
        <v>0.71901442413080963</v>
      </c>
    </row>
    <row r="47" spans="1:15">
      <c r="A47" s="31" t="s">
        <v>44</v>
      </c>
      <c r="B47" s="32">
        <f>(H32-G32)/G32*100</f>
        <v>-2.1764680276826941E-2</v>
      </c>
    </row>
    <row r="48" spans="1:15">
      <c r="A48" s="31" t="s">
        <v>45</v>
      </c>
      <c r="B48" s="32">
        <f>(I32-H32)/H32*100</f>
        <v>-0.58342041100664155</v>
      </c>
    </row>
    <row r="49" spans="1:14">
      <c r="A49" s="31" t="s">
        <v>31</v>
      </c>
      <c r="B49" s="32">
        <f>(J32-I32)/I32*100</f>
        <v>0.40728737847072949</v>
      </c>
    </row>
    <row r="50" spans="1:14">
      <c r="A50" s="31" t="s">
        <v>35</v>
      </c>
      <c r="B50" s="32">
        <f>(K32-J32)/J32*100</f>
        <v>-0.5931870720111817</v>
      </c>
      <c r="C50" s="20" t="s">
        <v>84</v>
      </c>
    </row>
    <row r="51" spans="1:14">
      <c r="A51" s="31" t="s">
        <v>36</v>
      </c>
      <c r="B51" s="32">
        <f>(L32-K32)/K32*100</f>
        <v>4.3876968978943031E-3</v>
      </c>
    </row>
    <row r="52" spans="1:14">
      <c r="A52" s="31" t="s">
        <v>37</v>
      </c>
      <c r="B52" s="32">
        <f>(M32-L32)/L32*100</f>
        <v>0.45630045630048033</v>
      </c>
    </row>
    <row r="53" spans="1:14">
      <c r="A53" s="31" t="s">
        <v>38</v>
      </c>
      <c r="B53" s="32">
        <f>(N32-M32)/M32*100</f>
        <v>0.75559049615652185</v>
      </c>
    </row>
    <row r="57" spans="1:14" ht="16.149999999999999">
      <c r="A57" s="21" t="s">
        <v>85</v>
      </c>
    </row>
    <row r="58" spans="1:14" ht="28.9">
      <c r="A58" s="34" t="s">
        <v>60</v>
      </c>
      <c r="B58" s="35" t="s">
        <v>80</v>
      </c>
    </row>
    <row r="59" spans="1:14">
      <c r="A59" s="6" t="s">
        <v>3</v>
      </c>
      <c r="B59" s="33">
        <v>12.719013627514597</v>
      </c>
    </row>
    <row r="60" spans="1:14">
      <c r="A60" s="6" t="s">
        <v>4</v>
      </c>
      <c r="B60" s="33">
        <v>-1.2442396313364004</v>
      </c>
      <c r="N60" s="57" t="s">
        <v>61</v>
      </c>
    </row>
    <row r="61" spans="1:14">
      <c r="A61" s="6" t="s">
        <v>5</v>
      </c>
      <c r="B61" s="33">
        <v>6.6502463054187082</v>
      </c>
      <c r="N61" s="20" t="s">
        <v>86</v>
      </c>
    </row>
    <row r="62" spans="1:14">
      <c r="A62" s="6" t="s">
        <v>6</v>
      </c>
      <c r="B62" s="33">
        <v>8.8538508186779836</v>
      </c>
      <c r="N62" s="20" t="s">
        <v>87</v>
      </c>
    </row>
    <row r="63" spans="1:14" ht="30.75">
      <c r="A63" s="6" t="s">
        <v>7</v>
      </c>
      <c r="B63" s="33">
        <v>-16.007905138339922</v>
      </c>
      <c r="C63" s="20" t="s">
        <v>84</v>
      </c>
      <c r="N63" s="81" t="s">
        <v>88</v>
      </c>
    </row>
    <row r="64" spans="1:14">
      <c r="A64" s="6" t="s">
        <v>8</v>
      </c>
      <c r="B64" s="33">
        <v>0.70175438596490558</v>
      </c>
    </row>
    <row r="65" spans="1:3">
      <c r="A65" s="6" t="s">
        <v>9</v>
      </c>
      <c r="B65" s="33">
        <v>-7.9473985134362515</v>
      </c>
    </row>
    <row r="66" spans="1:3">
      <c r="A66" s="6" t="s">
        <v>10</v>
      </c>
      <c r="B66" s="33">
        <v>6.6180935033394093</v>
      </c>
    </row>
    <row r="67" spans="1:3">
      <c r="A67" s="6" t="s">
        <v>11</v>
      </c>
      <c r="B67" s="33">
        <v>2.5062656641604009</v>
      </c>
    </row>
    <row r="68" spans="1:3">
      <c r="A68" s="6" t="s">
        <v>12</v>
      </c>
      <c r="B68" s="33">
        <v>17.901568415359652</v>
      </c>
      <c r="C68" s="20" t="s">
        <v>81</v>
      </c>
    </row>
    <row r="69" spans="1:3">
      <c r="A69" s="6" t="s">
        <v>13</v>
      </c>
      <c r="B69" s="33">
        <v>3.7701974865350159</v>
      </c>
    </row>
    <row r="70" spans="1:3">
      <c r="A70" s="6" t="s">
        <v>14</v>
      </c>
      <c r="B70" s="33">
        <v>6.4109589041095827</v>
      </c>
    </row>
    <row r="71" spans="1:3">
      <c r="A71" s="6" t="s">
        <v>15</v>
      </c>
      <c r="B71" s="33">
        <v>3.3467974610501918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7EC7-AF42-44C8-B096-3E003548A3F1}">
  <dimension ref="A1:P78"/>
  <sheetViews>
    <sheetView topLeftCell="B45" workbookViewId="0">
      <selection activeCell="R70" sqref="R70"/>
    </sheetView>
  </sheetViews>
  <sheetFormatPr defaultRowHeight="14.45"/>
  <cols>
    <col min="1" max="1" width="29.85546875" customWidth="1"/>
    <col min="14" max="14" width="9.7109375" bestFit="1" customWidth="1"/>
  </cols>
  <sheetData>
    <row r="1" spans="1:14" ht="20.45">
      <c r="A1" s="22" t="s">
        <v>89</v>
      </c>
    </row>
    <row r="2" spans="1:14">
      <c r="E2" s="36"/>
    </row>
    <row r="3" spans="1:14" ht="18">
      <c r="A3" s="37" t="s">
        <v>90</v>
      </c>
    </row>
    <row r="5" spans="1:14" ht="28.9">
      <c r="A5" s="45" t="s">
        <v>1</v>
      </c>
      <c r="B5" s="40">
        <v>2019</v>
      </c>
      <c r="C5" s="40">
        <v>2019</v>
      </c>
      <c r="D5" s="40">
        <v>2019</v>
      </c>
      <c r="E5" s="40">
        <v>2019</v>
      </c>
      <c r="F5" s="40">
        <v>2019</v>
      </c>
      <c r="G5" s="40">
        <v>2019</v>
      </c>
      <c r="H5" s="40">
        <v>2019</v>
      </c>
      <c r="I5" s="40">
        <v>2019</v>
      </c>
      <c r="J5" s="40">
        <v>2019</v>
      </c>
      <c r="K5" s="40">
        <v>2020</v>
      </c>
      <c r="L5" s="40">
        <v>2020</v>
      </c>
      <c r="M5" s="40">
        <v>2020</v>
      </c>
      <c r="N5" s="41" t="s">
        <v>91</v>
      </c>
    </row>
    <row r="6" spans="1:14">
      <c r="A6" s="38" t="s">
        <v>2</v>
      </c>
      <c r="B6" s="39" t="s">
        <v>36</v>
      </c>
      <c r="C6" s="39" t="s">
        <v>38</v>
      </c>
      <c r="D6" s="39" t="s">
        <v>39</v>
      </c>
      <c r="E6" s="39" t="s">
        <v>40</v>
      </c>
      <c r="F6" s="39" t="s">
        <v>41</v>
      </c>
      <c r="G6" s="39" t="s">
        <v>42</v>
      </c>
      <c r="H6" s="39" t="s">
        <v>43</v>
      </c>
      <c r="I6" s="39" t="s">
        <v>44</v>
      </c>
      <c r="J6" s="39" t="s">
        <v>45</v>
      </c>
      <c r="K6" s="39" t="s">
        <v>31</v>
      </c>
      <c r="L6" s="39" t="s">
        <v>35</v>
      </c>
      <c r="M6" s="39" t="s">
        <v>36</v>
      </c>
      <c r="N6" s="46"/>
    </row>
    <row r="7" spans="1:14">
      <c r="A7" s="7" t="s">
        <v>3</v>
      </c>
      <c r="B7" s="42">
        <v>137.80000000000001</v>
      </c>
      <c r="C7" s="42">
        <v>138.30000000000001</v>
      </c>
      <c r="D7" s="42">
        <v>138.69999999999999</v>
      </c>
      <c r="E7" s="42">
        <v>139.30000000000001</v>
      </c>
      <c r="F7" s="42">
        <v>140.1</v>
      </c>
      <c r="G7" s="42">
        <v>140.9</v>
      </c>
      <c r="H7" s="42">
        <v>141.80000000000001</v>
      </c>
      <c r="I7" s="42">
        <v>142.5</v>
      </c>
      <c r="J7" s="42">
        <v>143.5</v>
      </c>
      <c r="K7" s="42">
        <v>144.30000000000001</v>
      </c>
      <c r="L7" s="42">
        <v>144.80000000000001</v>
      </c>
      <c r="M7" s="42">
        <v>145.1</v>
      </c>
      <c r="N7" s="43">
        <f>(M7-B7)/B7*100</f>
        <v>5.2975326560232094</v>
      </c>
    </row>
    <row r="8" spans="1:14">
      <c r="A8" s="7" t="s">
        <v>4</v>
      </c>
      <c r="B8" s="42">
        <v>153</v>
      </c>
      <c r="C8" s="42">
        <v>158.5</v>
      </c>
      <c r="D8" s="42">
        <v>162.1</v>
      </c>
      <c r="E8" s="42">
        <v>162.69999999999999</v>
      </c>
      <c r="F8" s="42">
        <v>160.6</v>
      </c>
      <c r="G8" s="42">
        <v>160.80000000000001</v>
      </c>
      <c r="H8" s="42">
        <v>161</v>
      </c>
      <c r="I8" s="42">
        <v>163.19999999999999</v>
      </c>
      <c r="J8" s="42">
        <v>165</v>
      </c>
      <c r="K8" s="42">
        <v>167.4</v>
      </c>
      <c r="L8" s="42">
        <v>167.5</v>
      </c>
      <c r="M8" s="42">
        <v>167</v>
      </c>
      <c r="N8" s="43">
        <f t="shared" ref="N8:N39" si="0">(M8-B8)/B8*100</f>
        <v>9.1503267973856204</v>
      </c>
    </row>
    <row r="9" spans="1:14">
      <c r="A9" s="7" t="s">
        <v>5</v>
      </c>
      <c r="B9" s="42">
        <v>140.30000000000001</v>
      </c>
      <c r="C9" s="42">
        <v>136</v>
      </c>
      <c r="D9" s="42">
        <v>137.80000000000001</v>
      </c>
      <c r="E9" s="42">
        <v>140</v>
      </c>
      <c r="F9" s="42">
        <v>138.5</v>
      </c>
      <c r="G9" s="42">
        <v>139.6</v>
      </c>
      <c r="H9" s="42">
        <v>142.6</v>
      </c>
      <c r="I9" s="42">
        <v>145.6</v>
      </c>
      <c r="J9" s="42">
        <v>151.1</v>
      </c>
      <c r="K9" s="42">
        <v>154.9</v>
      </c>
      <c r="L9" s="42">
        <v>151.80000000000001</v>
      </c>
      <c r="M9" s="42">
        <v>148.1</v>
      </c>
      <c r="N9" s="43">
        <f t="shared" si="0"/>
        <v>5.5595153243050479</v>
      </c>
    </row>
    <row r="10" spans="1:14">
      <c r="A10" s="7" t="s">
        <v>6</v>
      </c>
      <c r="B10" s="42">
        <v>142.30000000000001</v>
      </c>
      <c r="C10" s="42">
        <v>142.5</v>
      </c>
      <c r="D10" s="42">
        <v>143.30000000000001</v>
      </c>
      <c r="E10" s="42">
        <v>144</v>
      </c>
      <c r="F10" s="42">
        <v>144.69999999999999</v>
      </c>
      <c r="G10" s="42">
        <v>145.4</v>
      </c>
      <c r="H10" s="42">
        <v>146.19999999999999</v>
      </c>
      <c r="I10" s="42">
        <v>146.69999999999999</v>
      </c>
      <c r="J10" s="42">
        <v>148.30000000000001</v>
      </c>
      <c r="K10" s="42">
        <v>150.1</v>
      </c>
      <c r="L10" s="42">
        <v>150.80000000000001</v>
      </c>
      <c r="M10" s="42">
        <v>151.5</v>
      </c>
      <c r="N10" s="43">
        <f t="shared" si="0"/>
        <v>6.4652143359100407</v>
      </c>
    </row>
    <row r="11" spans="1:14">
      <c r="A11" s="7" t="s">
        <v>7</v>
      </c>
      <c r="B11" s="42">
        <v>122</v>
      </c>
      <c r="C11" s="42">
        <v>122</v>
      </c>
      <c r="D11" s="42">
        <v>122.2</v>
      </c>
      <c r="E11" s="42">
        <v>122.5</v>
      </c>
      <c r="F11" s="42">
        <v>122.9</v>
      </c>
      <c r="G11" s="42">
        <v>123.5</v>
      </c>
      <c r="H11" s="42">
        <v>123.9</v>
      </c>
      <c r="I11" s="42">
        <v>124.3</v>
      </c>
      <c r="J11" s="42">
        <v>125.7</v>
      </c>
      <c r="K11" s="42">
        <v>129.9</v>
      </c>
      <c r="L11" s="42">
        <v>131.4</v>
      </c>
      <c r="M11" s="42">
        <v>131.19999999999999</v>
      </c>
      <c r="N11" s="43">
        <f t="shared" si="0"/>
        <v>7.5409836065573677</v>
      </c>
    </row>
    <row r="12" spans="1:14">
      <c r="A12" s="7" t="s">
        <v>8</v>
      </c>
      <c r="B12" s="42">
        <v>137.6</v>
      </c>
      <c r="C12" s="42">
        <v>146.5</v>
      </c>
      <c r="D12" s="42">
        <v>146.80000000000001</v>
      </c>
      <c r="E12" s="42">
        <v>150.30000000000001</v>
      </c>
      <c r="F12" s="42">
        <v>149.4</v>
      </c>
      <c r="G12" s="42">
        <v>146.6</v>
      </c>
      <c r="H12" s="42">
        <v>148</v>
      </c>
      <c r="I12" s="42">
        <v>147.4</v>
      </c>
      <c r="J12" s="42">
        <v>145.69999999999999</v>
      </c>
      <c r="K12" s="42">
        <v>143.19999999999999</v>
      </c>
      <c r="L12" s="42">
        <v>141.80000000000001</v>
      </c>
      <c r="M12" s="42">
        <v>142.5</v>
      </c>
      <c r="N12" s="43">
        <f t="shared" si="0"/>
        <v>3.5610465116279113</v>
      </c>
    </row>
    <row r="13" spans="1:14">
      <c r="A13" s="7" t="s">
        <v>9</v>
      </c>
      <c r="B13" s="42">
        <v>132.6</v>
      </c>
      <c r="C13" s="42">
        <v>143</v>
      </c>
      <c r="D13" s="42">
        <v>150.5</v>
      </c>
      <c r="E13" s="42">
        <v>160.30000000000001</v>
      </c>
      <c r="F13" s="42">
        <v>167.4</v>
      </c>
      <c r="G13" s="42">
        <v>173.2</v>
      </c>
      <c r="H13" s="42">
        <v>188.4</v>
      </c>
      <c r="I13" s="42">
        <v>199.6</v>
      </c>
      <c r="J13" s="42">
        <v>217</v>
      </c>
      <c r="K13" s="42">
        <v>197</v>
      </c>
      <c r="L13" s="42">
        <v>170.7</v>
      </c>
      <c r="M13" s="42">
        <v>157.30000000000001</v>
      </c>
      <c r="N13" s="43">
        <f t="shared" si="0"/>
        <v>18.627450980392172</v>
      </c>
    </row>
    <row r="14" spans="1:14">
      <c r="A14" s="7" t="s">
        <v>10</v>
      </c>
      <c r="B14" s="42">
        <v>121.8</v>
      </c>
      <c r="C14" s="42">
        <v>124.9</v>
      </c>
      <c r="D14" s="42">
        <v>128.30000000000001</v>
      </c>
      <c r="E14" s="42">
        <v>130</v>
      </c>
      <c r="F14" s="42">
        <v>130.9</v>
      </c>
      <c r="G14" s="42">
        <v>131.6</v>
      </c>
      <c r="H14" s="42">
        <v>132.5</v>
      </c>
      <c r="I14" s="42">
        <v>135.69999999999999</v>
      </c>
      <c r="J14" s="42">
        <v>138.30000000000001</v>
      </c>
      <c r="K14" s="42">
        <v>140.4</v>
      </c>
      <c r="L14" s="42">
        <v>141.1</v>
      </c>
      <c r="M14" s="42">
        <v>141.1</v>
      </c>
      <c r="N14" s="43">
        <f t="shared" si="0"/>
        <v>15.845648604269291</v>
      </c>
    </row>
    <row r="15" spans="1:14">
      <c r="A15" s="7" t="s">
        <v>11</v>
      </c>
      <c r="B15" s="42">
        <v>109</v>
      </c>
      <c r="C15" s="42">
        <v>109.9</v>
      </c>
      <c r="D15" s="42">
        <v>111</v>
      </c>
      <c r="E15" s="42">
        <v>111.1</v>
      </c>
      <c r="F15" s="42">
        <v>112</v>
      </c>
      <c r="G15" s="42">
        <v>113.2</v>
      </c>
      <c r="H15" s="42">
        <v>114</v>
      </c>
      <c r="I15" s="42">
        <v>114.2</v>
      </c>
      <c r="J15" s="42">
        <v>114</v>
      </c>
      <c r="K15" s="42">
        <v>114.1</v>
      </c>
      <c r="L15" s="42">
        <v>113.6</v>
      </c>
      <c r="M15" s="42">
        <v>113.2</v>
      </c>
      <c r="N15" s="43">
        <f t="shared" si="0"/>
        <v>3.8532110091743141</v>
      </c>
    </row>
    <row r="16" spans="1:14">
      <c r="A16" s="7" t="s">
        <v>12</v>
      </c>
      <c r="B16" s="42">
        <v>139.5</v>
      </c>
      <c r="C16" s="42">
        <v>139.9</v>
      </c>
      <c r="D16" s="42">
        <v>140.6</v>
      </c>
      <c r="E16" s="42">
        <v>141.69999999999999</v>
      </c>
      <c r="F16" s="42">
        <v>142.6</v>
      </c>
      <c r="G16" s="42">
        <v>144.1</v>
      </c>
      <c r="H16" s="42">
        <v>145.4</v>
      </c>
      <c r="I16" s="42">
        <v>147</v>
      </c>
      <c r="J16" s="42">
        <v>148.69999999999999</v>
      </c>
      <c r="K16" s="42">
        <v>150.9</v>
      </c>
      <c r="L16" s="42">
        <v>152</v>
      </c>
      <c r="M16" s="42">
        <v>153.19999999999999</v>
      </c>
      <c r="N16" s="43">
        <f t="shared" si="0"/>
        <v>9.8207885304659417</v>
      </c>
    </row>
    <row r="17" spans="1:16">
      <c r="A17" s="7" t="s">
        <v>13</v>
      </c>
      <c r="B17" s="42">
        <v>133.69999999999999</v>
      </c>
      <c r="C17" s="42">
        <v>134</v>
      </c>
      <c r="D17" s="42">
        <v>134.19999999999999</v>
      </c>
      <c r="E17" s="42">
        <v>134.69999999999999</v>
      </c>
      <c r="F17" s="42">
        <v>134.9</v>
      </c>
      <c r="G17" s="42">
        <v>135</v>
      </c>
      <c r="H17" s="42">
        <v>135.1</v>
      </c>
      <c r="I17" s="42">
        <v>135.30000000000001</v>
      </c>
      <c r="J17" s="42">
        <v>135.80000000000001</v>
      </c>
      <c r="K17" s="42">
        <v>136.1</v>
      </c>
      <c r="L17" s="42">
        <v>136.5</v>
      </c>
      <c r="M17" s="42">
        <v>136.69999999999999</v>
      </c>
      <c r="N17" s="43">
        <f t="shared" si="0"/>
        <v>2.2438294689603588</v>
      </c>
    </row>
    <row r="18" spans="1:16">
      <c r="A18" s="7" t="s">
        <v>14</v>
      </c>
      <c r="B18" s="42">
        <v>155.19999999999999</v>
      </c>
      <c r="C18" s="42">
        <v>155.5</v>
      </c>
      <c r="D18" s="42">
        <v>155.9</v>
      </c>
      <c r="E18" s="42">
        <v>156.19999999999999</v>
      </c>
      <c r="F18" s="42">
        <v>156.6</v>
      </c>
      <c r="G18" s="42">
        <v>156.80000000000001</v>
      </c>
      <c r="H18" s="42">
        <v>157.1</v>
      </c>
      <c r="I18" s="42">
        <v>157.5</v>
      </c>
      <c r="J18" s="42">
        <v>158</v>
      </c>
      <c r="K18" s="42">
        <v>158.6</v>
      </c>
      <c r="L18" s="42">
        <v>159.1</v>
      </c>
      <c r="M18" s="42">
        <v>159.6</v>
      </c>
      <c r="N18" s="43">
        <f t="shared" si="0"/>
        <v>2.8350515463917563</v>
      </c>
    </row>
    <row r="19" spans="1:16">
      <c r="A19" s="7" t="s">
        <v>15</v>
      </c>
      <c r="B19" s="42">
        <v>138.1</v>
      </c>
      <c r="C19" s="42">
        <v>140.9</v>
      </c>
      <c r="D19" s="42">
        <v>142.69999999999999</v>
      </c>
      <c r="E19" s="42">
        <v>144.69999999999999</v>
      </c>
      <c r="F19" s="42">
        <v>145.9</v>
      </c>
      <c r="G19" s="42">
        <v>147</v>
      </c>
      <c r="H19" s="42">
        <v>149.6</v>
      </c>
      <c r="I19" s="42">
        <v>151.9</v>
      </c>
      <c r="J19" s="42">
        <v>155</v>
      </c>
      <c r="K19" s="42">
        <v>153.5</v>
      </c>
      <c r="L19" s="42">
        <v>150.5</v>
      </c>
      <c r="M19" s="42">
        <v>148.9</v>
      </c>
      <c r="N19" s="43">
        <f t="shared" si="0"/>
        <v>7.8204199855177485</v>
      </c>
    </row>
    <row r="20" spans="1:16">
      <c r="A20" s="7" t="s">
        <v>16</v>
      </c>
      <c r="B20" s="42">
        <v>163.5</v>
      </c>
      <c r="C20" s="42">
        <v>164.1</v>
      </c>
      <c r="D20" s="42">
        <v>164.9</v>
      </c>
      <c r="E20" s="42">
        <v>165.2</v>
      </c>
      <c r="F20" s="42">
        <v>165.8</v>
      </c>
      <c r="G20" s="42">
        <v>166.5</v>
      </c>
      <c r="H20" s="42">
        <v>167.1</v>
      </c>
      <c r="I20" s="42">
        <v>167.9</v>
      </c>
      <c r="J20" s="42">
        <v>168.5</v>
      </c>
      <c r="K20" s="42">
        <v>169.2</v>
      </c>
      <c r="L20" s="42">
        <v>170.1</v>
      </c>
      <c r="M20" s="42">
        <v>171.2</v>
      </c>
      <c r="N20" s="43">
        <f t="shared" si="0"/>
        <v>4.7094801223241518</v>
      </c>
    </row>
    <row r="21" spans="1:16">
      <c r="A21" s="7" t="s">
        <v>17</v>
      </c>
      <c r="B21" s="42">
        <v>147.9</v>
      </c>
      <c r="C21" s="42">
        <v>148.4</v>
      </c>
      <c r="D21" s="42">
        <v>148.6</v>
      </c>
      <c r="E21" s="42">
        <v>148.9</v>
      </c>
      <c r="F21" s="42">
        <v>149.1</v>
      </c>
      <c r="G21" s="42">
        <v>149.19999999999999</v>
      </c>
      <c r="H21" s="42">
        <v>149.4</v>
      </c>
      <c r="I21" s="42">
        <v>149.9</v>
      </c>
      <c r="J21" s="42">
        <v>150.30000000000001</v>
      </c>
      <c r="K21" s="42">
        <v>150.5</v>
      </c>
      <c r="L21" s="42">
        <v>150.80000000000001</v>
      </c>
      <c r="M21" s="42">
        <v>151.19999999999999</v>
      </c>
      <c r="N21" s="43">
        <f t="shared" si="0"/>
        <v>2.2312373225152013</v>
      </c>
    </row>
    <row r="22" spans="1:16">
      <c r="A22" s="7" t="s">
        <v>18</v>
      </c>
      <c r="B22" s="42">
        <v>139.9</v>
      </c>
      <c r="C22" s="42">
        <v>140.4</v>
      </c>
      <c r="D22" s="42">
        <v>140.4</v>
      </c>
      <c r="E22" s="42">
        <v>140.5</v>
      </c>
      <c r="F22" s="42">
        <v>140.6</v>
      </c>
      <c r="G22" s="42">
        <v>140.6</v>
      </c>
      <c r="H22" s="42">
        <v>140.80000000000001</v>
      </c>
      <c r="I22" s="42">
        <v>141</v>
      </c>
      <c r="J22" s="42">
        <v>141.30000000000001</v>
      </c>
      <c r="K22" s="42">
        <v>141.5</v>
      </c>
      <c r="L22" s="42">
        <v>141.69999999999999</v>
      </c>
      <c r="M22" s="42">
        <v>141.9</v>
      </c>
      <c r="N22" s="43">
        <f t="shared" si="0"/>
        <v>1.4295925661186561</v>
      </c>
      <c r="P22" s="57" t="s">
        <v>61</v>
      </c>
    </row>
    <row r="23" spans="1:16">
      <c r="A23" s="7" t="s">
        <v>19</v>
      </c>
      <c r="B23" s="42">
        <v>146.69999999999999</v>
      </c>
      <c r="C23" s="42">
        <v>147.30000000000001</v>
      </c>
      <c r="D23" s="42">
        <v>147.4</v>
      </c>
      <c r="E23" s="42">
        <v>147.6</v>
      </c>
      <c r="F23" s="42">
        <v>147.9</v>
      </c>
      <c r="G23" s="42">
        <v>147.9</v>
      </c>
      <c r="H23" s="42">
        <v>148.19999999999999</v>
      </c>
      <c r="I23" s="42">
        <v>148.6</v>
      </c>
      <c r="J23" s="42">
        <v>149</v>
      </c>
      <c r="K23" s="42">
        <v>149.19999999999999</v>
      </c>
      <c r="L23" s="42">
        <v>149.5</v>
      </c>
      <c r="M23" s="42">
        <v>149.80000000000001</v>
      </c>
      <c r="N23" s="43">
        <f t="shared" si="0"/>
        <v>2.1131561008861781</v>
      </c>
      <c r="P23" s="20" t="s">
        <v>92</v>
      </c>
    </row>
    <row r="24" spans="1:16">
      <c r="A24" s="7" t="s">
        <v>20</v>
      </c>
      <c r="B24" s="42">
        <v>149</v>
      </c>
      <c r="C24" s="42">
        <v>150.1</v>
      </c>
      <c r="D24" s="42">
        <v>149.4</v>
      </c>
      <c r="E24" s="42">
        <v>150.6</v>
      </c>
      <c r="F24" s="42">
        <v>151.6</v>
      </c>
      <c r="G24" s="42">
        <v>152.19999999999999</v>
      </c>
      <c r="H24" s="42">
        <v>153</v>
      </c>
      <c r="I24" s="42">
        <v>153.5</v>
      </c>
      <c r="J24" s="42">
        <v>152.80000000000001</v>
      </c>
      <c r="K24" s="42">
        <v>153.9</v>
      </c>
      <c r="L24" s="42">
        <v>154.80000000000001</v>
      </c>
      <c r="M24" s="42">
        <v>154.5</v>
      </c>
      <c r="N24" s="43">
        <f t="shared" si="0"/>
        <v>3.6912751677852351</v>
      </c>
      <c r="P24" s="20" t="s">
        <v>93</v>
      </c>
    </row>
    <row r="25" spans="1:16">
      <c r="A25" s="7" t="s">
        <v>21</v>
      </c>
      <c r="B25" s="42">
        <v>139.69999999999999</v>
      </c>
      <c r="C25" s="42">
        <v>140.30000000000001</v>
      </c>
      <c r="D25" s="42">
        <v>141.19999999999999</v>
      </c>
      <c r="E25" s="42">
        <v>139.30000000000001</v>
      </c>
      <c r="F25" s="42">
        <v>138.5</v>
      </c>
      <c r="G25" s="42">
        <v>139.19999999999999</v>
      </c>
      <c r="H25" s="42">
        <v>140.6</v>
      </c>
      <c r="I25" s="42">
        <v>142.30000000000001</v>
      </c>
      <c r="J25" s="42">
        <v>143.69999999999999</v>
      </c>
      <c r="K25" s="42">
        <v>144.6</v>
      </c>
      <c r="L25" s="42">
        <v>147.19999999999999</v>
      </c>
      <c r="M25" s="42">
        <v>148.9</v>
      </c>
      <c r="N25" s="43">
        <f t="shared" si="0"/>
        <v>6.5855404438081733</v>
      </c>
      <c r="P25" s="20" t="s">
        <v>94</v>
      </c>
    </row>
    <row r="26" spans="1:16">
      <c r="A26" s="7" t="s">
        <v>22</v>
      </c>
      <c r="B26" s="42">
        <v>143.80000000000001</v>
      </c>
      <c r="C26" s="42">
        <v>143.69999999999999</v>
      </c>
      <c r="D26" s="42">
        <v>143.80000000000001</v>
      </c>
      <c r="E26" s="42">
        <v>144.19999999999999</v>
      </c>
      <c r="F26" s="42">
        <v>144.5</v>
      </c>
      <c r="G26" s="42">
        <v>144.6</v>
      </c>
      <c r="H26" s="42">
        <v>145</v>
      </c>
      <c r="I26" s="42">
        <v>145.30000000000001</v>
      </c>
      <c r="J26" s="42">
        <v>145.80000000000001</v>
      </c>
      <c r="K26" s="42">
        <v>146.19999999999999</v>
      </c>
      <c r="L26" s="42">
        <v>146.4</v>
      </c>
      <c r="M26" s="42">
        <v>146.4</v>
      </c>
      <c r="N26" s="43">
        <f t="shared" si="0"/>
        <v>1.8080667593880348</v>
      </c>
      <c r="P26" s="20" t="s">
        <v>95</v>
      </c>
    </row>
    <row r="27" spans="1:16">
      <c r="A27" s="7" t="s">
        <v>23</v>
      </c>
      <c r="B27" s="42">
        <v>146.19999999999999</v>
      </c>
      <c r="C27" s="42">
        <v>146.9</v>
      </c>
      <c r="D27" s="42">
        <v>147.4</v>
      </c>
      <c r="E27" s="42">
        <v>147.9</v>
      </c>
      <c r="F27" s="42">
        <v>148.5</v>
      </c>
      <c r="G27" s="42">
        <v>149</v>
      </c>
      <c r="H27" s="42">
        <v>149.4</v>
      </c>
      <c r="I27" s="42">
        <v>149.9</v>
      </c>
      <c r="J27" s="42">
        <v>150.4</v>
      </c>
      <c r="K27" s="42">
        <v>151.19999999999999</v>
      </c>
      <c r="L27" s="42">
        <v>151.69999999999999</v>
      </c>
      <c r="M27" s="42">
        <v>152.30000000000001</v>
      </c>
      <c r="N27" s="43">
        <f t="shared" si="0"/>
        <v>4.1723666210670469</v>
      </c>
    </row>
    <row r="28" spans="1:16">
      <c r="A28" s="7" t="s">
        <v>24</v>
      </c>
      <c r="B28" s="42">
        <v>124.6</v>
      </c>
      <c r="C28" s="42">
        <v>124.9</v>
      </c>
      <c r="D28" s="42">
        <v>124.6</v>
      </c>
      <c r="E28" s="42">
        <v>125.6</v>
      </c>
      <c r="F28" s="42">
        <v>125.8</v>
      </c>
      <c r="G28" s="42">
        <v>126.1</v>
      </c>
      <c r="H28" s="42">
        <v>126.3</v>
      </c>
      <c r="I28" s="42">
        <v>126.6</v>
      </c>
      <c r="J28" s="42">
        <v>129.80000000000001</v>
      </c>
      <c r="K28" s="42">
        <v>130.9</v>
      </c>
      <c r="L28" s="42">
        <v>130.30000000000001</v>
      </c>
      <c r="M28" s="42">
        <v>129.9</v>
      </c>
      <c r="N28" s="43">
        <f t="shared" si="0"/>
        <v>4.2536115569823529</v>
      </c>
    </row>
    <row r="29" spans="1:16">
      <c r="A29" s="7" t="s">
        <v>25</v>
      </c>
      <c r="B29" s="42">
        <v>137.69999999999999</v>
      </c>
      <c r="C29" s="42">
        <v>139.19999999999999</v>
      </c>
      <c r="D29" s="42">
        <v>139.6</v>
      </c>
      <c r="E29" s="42">
        <v>140.5</v>
      </c>
      <c r="F29" s="42">
        <v>140.9</v>
      </c>
      <c r="G29" s="42">
        <v>141.30000000000001</v>
      </c>
      <c r="H29" s="42">
        <v>141.69999999999999</v>
      </c>
      <c r="I29" s="42">
        <v>142.1</v>
      </c>
      <c r="J29" s="42">
        <v>142.30000000000001</v>
      </c>
      <c r="K29" s="42">
        <v>142.80000000000001</v>
      </c>
      <c r="L29" s="42">
        <v>143.19999999999999</v>
      </c>
      <c r="M29" s="42">
        <v>143.69999999999999</v>
      </c>
      <c r="N29" s="43">
        <f t="shared" si="0"/>
        <v>4.3572984749455337</v>
      </c>
    </row>
    <row r="30" spans="1:16">
      <c r="A30" s="7" t="s">
        <v>26</v>
      </c>
      <c r="B30" s="42">
        <v>150.30000000000001</v>
      </c>
      <c r="C30" s="42">
        <v>151.6</v>
      </c>
      <c r="D30" s="42">
        <v>152.5</v>
      </c>
      <c r="E30" s="42">
        <v>154</v>
      </c>
      <c r="F30" s="42">
        <v>154.9</v>
      </c>
      <c r="G30" s="42">
        <v>155.19999999999999</v>
      </c>
      <c r="H30" s="42">
        <v>155.4</v>
      </c>
      <c r="I30" s="42">
        <v>155.5</v>
      </c>
      <c r="J30" s="42">
        <v>155.69999999999999</v>
      </c>
      <c r="K30" s="42">
        <v>156.1</v>
      </c>
      <c r="L30" s="42">
        <v>156.19999999999999</v>
      </c>
      <c r="M30" s="42">
        <v>156.1</v>
      </c>
      <c r="N30" s="43">
        <f t="shared" si="0"/>
        <v>3.8589487691283981</v>
      </c>
    </row>
    <row r="31" spans="1:16">
      <c r="A31" s="7" t="s">
        <v>27</v>
      </c>
      <c r="B31" s="42">
        <v>133.4</v>
      </c>
      <c r="C31" s="42">
        <v>133.4</v>
      </c>
      <c r="D31" s="42">
        <v>134.30000000000001</v>
      </c>
      <c r="E31" s="42">
        <v>135.69999999999999</v>
      </c>
      <c r="F31" s="42">
        <v>138.4</v>
      </c>
      <c r="G31" s="42">
        <v>139.69999999999999</v>
      </c>
      <c r="H31" s="42">
        <v>140</v>
      </c>
      <c r="I31" s="42">
        <v>140.30000000000001</v>
      </c>
      <c r="J31" s="42">
        <v>140.4</v>
      </c>
      <c r="K31" s="42">
        <v>142.30000000000001</v>
      </c>
      <c r="L31" s="42">
        <v>143.4</v>
      </c>
      <c r="M31" s="42">
        <v>145.19999999999999</v>
      </c>
      <c r="N31" s="43">
        <f t="shared" si="0"/>
        <v>8.8455772113942892</v>
      </c>
    </row>
    <row r="32" spans="1:16">
      <c r="A32" s="7" t="s">
        <v>28</v>
      </c>
      <c r="B32" s="42">
        <v>137.69999999999999</v>
      </c>
      <c r="C32" s="42">
        <v>138.19999999999999</v>
      </c>
      <c r="D32" s="42">
        <v>138.6</v>
      </c>
      <c r="E32" s="42">
        <v>139.5</v>
      </c>
      <c r="F32" s="42">
        <v>140.19999999999999</v>
      </c>
      <c r="G32" s="42">
        <v>140.69999999999999</v>
      </c>
      <c r="H32" s="42">
        <v>141</v>
      </c>
      <c r="I32" s="42">
        <v>141.30000000000001</v>
      </c>
      <c r="J32" s="42">
        <v>142.5</v>
      </c>
      <c r="K32" s="42">
        <v>143.4</v>
      </c>
      <c r="L32" s="42">
        <v>143.6</v>
      </c>
      <c r="M32" s="42">
        <v>143.80000000000001</v>
      </c>
      <c r="N32" s="43">
        <f t="shared" si="0"/>
        <v>4.4299201161946433</v>
      </c>
    </row>
    <row r="33" spans="1:14">
      <c r="A33" s="8" t="s">
        <v>29</v>
      </c>
      <c r="B33" s="42">
        <v>140.4</v>
      </c>
      <c r="C33" s="42">
        <v>142</v>
      </c>
      <c r="D33" s="42">
        <v>142.9</v>
      </c>
      <c r="E33" s="42">
        <v>144.19999999999999</v>
      </c>
      <c r="F33" s="42">
        <v>145</v>
      </c>
      <c r="G33" s="42">
        <v>145.80000000000001</v>
      </c>
      <c r="H33" s="42">
        <v>147.19999999999999</v>
      </c>
      <c r="I33" s="42">
        <v>148.6</v>
      </c>
      <c r="J33" s="42">
        <v>150.4</v>
      </c>
      <c r="K33" s="42">
        <v>150.19999999999999</v>
      </c>
      <c r="L33" s="42">
        <v>149.1</v>
      </c>
      <c r="M33" s="42">
        <v>148.6</v>
      </c>
      <c r="N33" s="43">
        <f t="shared" si="0"/>
        <v>5.8404558404558315</v>
      </c>
    </row>
    <row r="34" spans="1:14">
      <c r="A34" s="8" t="s">
        <v>60</v>
      </c>
      <c r="B34" s="42">
        <f t="shared" ref="B34:M34" si="1">B19+B18+B17+B16+B15+B14+B13+B12+B11+B10+B9+B8+B7</f>
        <v>1762.8999999999999</v>
      </c>
      <c r="C34" s="42">
        <f t="shared" si="1"/>
        <v>1791.8999999999999</v>
      </c>
      <c r="D34" s="42">
        <f t="shared" si="1"/>
        <v>1814.1</v>
      </c>
      <c r="E34" s="42">
        <f t="shared" si="1"/>
        <v>1837.5</v>
      </c>
      <c r="F34" s="42">
        <f t="shared" si="1"/>
        <v>1846.5</v>
      </c>
      <c r="G34" s="42">
        <f t="shared" si="1"/>
        <v>1857.7</v>
      </c>
      <c r="H34" s="42">
        <f t="shared" si="1"/>
        <v>1885.6</v>
      </c>
      <c r="I34" s="42">
        <f t="shared" si="1"/>
        <v>1910.9</v>
      </c>
      <c r="J34" s="42">
        <f t="shared" si="1"/>
        <v>1946.1</v>
      </c>
      <c r="K34" s="42">
        <f t="shared" si="1"/>
        <v>1940.4</v>
      </c>
      <c r="L34" s="42">
        <f t="shared" si="1"/>
        <v>1911.6</v>
      </c>
      <c r="M34" s="42">
        <f t="shared" si="1"/>
        <v>1895.3999999999999</v>
      </c>
      <c r="N34" s="43">
        <f t="shared" si="0"/>
        <v>7.5160247319757216</v>
      </c>
    </row>
    <row r="35" spans="1:14">
      <c r="A35" s="8" t="s">
        <v>49</v>
      </c>
      <c r="B35" s="42">
        <f t="shared" ref="B35:M35" si="2">SUM(B21:B23)</f>
        <v>434.5</v>
      </c>
      <c r="C35" s="42">
        <f t="shared" si="2"/>
        <v>436.1</v>
      </c>
      <c r="D35" s="42">
        <f t="shared" si="2"/>
        <v>436.4</v>
      </c>
      <c r="E35" s="42">
        <f t="shared" si="2"/>
        <v>437</v>
      </c>
      <c r="F35" s="42">
        <f t="shared" si="2"/>
        <v>437.6</v>
      </c>
      <c r="G35" s="42">
        <f t="shared" si="2"/>
        <v>437.69999999999993</v>
      </c>
      <c r="H35" s="42">
        <f t="shared" si="2"/>
        <v>438.40000000000003</v>
      </c>
      <c r="I35" s="42">
        <f t="shared" si="2"/>
        <v>439.5</v>
      </c>
      <c r="J35" s="42">
        <f t="shared" si="2"/>
        <v>440.6</v>
      </c>
      <c r="K35" s="42">
        <f t="shared" si="2"/>
        <v>441.2</v>
      </c>
      <c r="L35" s="42">
        <f t="shared" si="2"/>
        <v>442</v>
      </c>
      <c r="M35" s="42">
        <f t="shared" si="2"/>
        <v>442.90000000000003</v>
      </c>
      <c r="N35" s="43">
        <f t="shared" si="0"/>
        <v>1.9332566168009286</v>
      </c>
    </row>
    <row r="36" spans="1:14">
      <c r="A36" s="8" t="s">
        <v>50</v>
      </c>
      <c r="B36" s="42">
        <f t="shared" ref="B36:M36" si="3">SUM(B28,B30,B29)</f>
        <v>412.59999999999997</v>
      </c>
      <c r="C36" s="42">
        <f t="shared" si="3"/>
        <v>415.7</v>
      </c>
      <c r="D36" s="42">
        <f t="shared" si="3"/>
        <v>416.70000000000005</v>
      </c>
      <c r="E36" s="42">
        <f t="shared" si="3"/>
        <v>420.1</v>
      </c>
      <c r="F36" s="42">
        <f t="shared" si="3"/>
        <v>421.6</v>
      </c>
      <c r="G36" s="42">
        <f t="shared" si="3"/>
        <v>422.59999999999997</v>
      </c>
      <c r="H36" s="42">
        <f t="shared" si="3"/>
        <v>423.4</v>
      </c>
      <c r="I36" s="42">
        <f t="shared" si="3"/>
        <v>424.20000000000005</v>
      </c>
      <c r="J36" s="42">
        <f t="shared" si="3"/>
        <v>427.8</v>
      </c>
      <c r="K36" s="42">
        <f t="shared" si="3"/>
        <v>429.8</v>
      </c>
      <c r="L36" s="42">
        <f t="shared" si="3"/>
        <v>429.7</v>
      </c>
      <c r="M36" s="42">
        <f t="shared" si="3"/>
        <v>429.7</v>
      </c>
      <c r="N36" s="43">
        <f t="shared" si="0"/>
        <v>4.1444498303441648</v>
      </c>
    </row>
    <row r="37" spans="1:14">
      <c r="A37" s="8" t="s">
        <v>51</v>
      </c>
      <c r="B37" s="42">
        <f t="shared" ref="B37:M37" si="4">SUM(B27,B31)</f>
        <v>279.60000000000002</v>
      </c>
      <c r="C37" s="42">
        <f t="shared" si="4"/>
        <v>280.3</v>
      </c>
      <c r="D37" s="42">
        <f t="shared" si="4"/>
        <v>281.70000000000005</v>
      </c>
      <c r="E37" s="42">
        <f t="shared" si="4"/>
        <v>283.60000000000002</v>
      </c>
      <c r="F37" s="42">
        <f t="shared" si="4"/>
        <v>286.89999999999998</v>
      </c>
      <c r="G37" s="42">
        <f t="shared" si="4"/>
        <v>288.7</v>
      </c>
      <c r="H37" s="42">
        <f t="shared" si="4"/>
        <v>289.39999999999998</v>
      </c>
      <c r="I37" s="42">
        <f t="shared" si="4"/>
        <v>290.20000000000005</v>
      </c>
      <c r="J37" s="42">
        <f t="shared" si="4"/>
        <v>290.8</v>
      </c>
      <c r="K37" s="42">
        <f t="shared" si="4"/>
        <v>293.5</v>
      </c>
      <c r="L37" s="42">
        <f t="shared" si="4"/>
        <v>295.10000000000002</v>
      </c>
      <c r="M37" s="42">
        <f t="shared" si="4"/>
        <v>297.5</v>
      </c>
      <c r="N37" s="43">
        <f t="shared" si="0"/>
        <v>6.4020028612303204</v>
      </c>
    </row>
    <row r="38" spans="1:14">
      <c r="A38" s="8" t="s">
        <v>52</v>
      </c>
      <c r="B38" s="42">
        <f t="shared" ref="B38:M38" si="5">SUM(B24,B25,B26)</f>
        <v>432.5</v>
      </c>
      <c r="C38" s="42">
        <f t="shared" si="5"/>
        <v>434.09999999999997</v>
      </c>
      <c r="D38" s="42">
        <f t="shared" si="5"/>
        <v>434.40000000000003</v>
      </c>
      <c r="E38" s="42">
        <f t="shared" si="5"/>
        <v>434.09999999999997</v>
      </c>
      <c r="F38" s="42">
        <f t="shared" si="5"/>
        <v>434.6</v>
      </c>
      <c r="G38" s="42">
        <f t="shared" si="5"/>
        <v>436</v>
      </c>
      <c r="H38" s="42">
        <f t="shared" si="5"/>
        <v>438.6</v>
      </c>
      <c r="I38" s="42">
        <f t="shared" si="5"/>
        <v>441.1</v>
      </c>
      <c r="J38" s="42">
        <f t="shared" si="5"/>
        <v>442.3</v>
      </c>
      <c r="K38" s="42">
        <f t="shared" si="5"/>
        <v>444.7</v>
      </c>
      <c r="L38" s="42">
        <f t="shared" si="5"/>
        <v>448.4</v>
      </c>
      <c r="M38" s="42">
        <f t="shared" si="5"/>
        <v>449.79999999999995</v>
      </c>
      <c r="N38" s="43">
        <f t="shared" si="0"/>
        <v>3.9999999999999898</v>
      </c>
    </row>
    <row r="39" spans="1:14">
      <c r="A39" s="8" t="s">
        <v>53</v>
      </c>
      <c r="B39" s="42">
        <f t="shared" ref="B39:M39" si="6">SUM(B32,B20)</f>
        <v>301.2</v>
      </c>
      <c r="C39" s="42">
        <f t="shared" si="6"/>
        <v>302.29999999999995</v>
      </c>
      <c r="D39" s="42">
        <f t="shared" si="6"/>
        <v>303.5</v>
      </c>
      <c r="E39" s="42">
        <f t="shared" si="6"/>
        <v>304.7</v>
      </c>
      <c r="F39" s="42">
        <f t="shared" si="6"/>
        <v>306</v>
      </c>
      <c r="G39" s="42">
        <f t="shared" si="6"/>
        <v>307.2</v>
      </c>
      <c r="H39" s="42">
        <f t="shared" si="6"/>
        <v>308.10000000000002</v>
      </c>
      <c r="I39" s="42">
        <f t="shared" si="6"/>
        <v>309.20000000000005</v>
      </c>
      <c r="J39" s="42">
        <f t="shared" si="6"/>
        <v>311</v>
      </c>
      <c r="K39" s="42">
        <f t="shared" si="6"/>
        <v>312.60000000000002</v>
      </c>
      <c r="L39" s="42">
        <f t="shared" si="6"/>
        <v>313.7</v>
      </c>
      <c r="M39" s="42">
        <f t="shared" si="6"/>
        <v>315</v>
      </c>
      <c r="N39" s="43">
        <f t="shared" si="0"/>
        <v>4.5816733067729123</v>
      </c>
    </row>
    <row r="42" spans="1:14" ht="18">
      <c r="A42" s="37" t="s">
        <v>96</v>
      </c>
    </row>
    <row r="44" spans="1:14" ht="28.9">
      <c r="A44" s="45" t="s">
        <v>1</v>
      </c>
      <c r="B44" s="40">
        <v>2020</v>
      </c>
      <c r="C44" s="40">
        <v>2020</v>
      </c>
      <c r="D44" s="40">
        <v>2020</v>
      </c>
      <c r="E44" s="40">
        <v>2020</v>
      </c>
      <c r="F44" s="40">
        <v>2020</v>
      </c>
      <c r="G44" s="40">
        <v>2020</v>
      </c>
      <c r="H44" s="40">
        <v>2020</v>
      </c>
      <c r="I44" s="40">
        <v>2020</v>
      </c>
      <c r="J44" s="40">
        <v>2020</v>
      </c>
      <c r="K44" s="40">
        <v>2020</v>
      </c>
      <c r="L44" s="40">
        <v>2021</v>
      </c>
      <c r="M44" s="40">
        <v>2021</v>
      </c>
      <c r="N44" s="44" t="s">
        <v>97</v>
      </c>
    </row>
    <row r="45" spans="1:14">
      <c r="A45" s="38" t="s">
        <v>2</v>
      </c>
      <c r="B45" s="39" t="s">
        <v>36</v>
      </c>
      <c r="C45" s="39" t="s">
        <v>37</v>
      </c>
      <c r="D45" s="39" t="s">
        <v>38</v>
      </c>
      <c r="E45" s="39" t="s">
        <v>39</v>
      </c>
      <c r="F45" s="39" t="s">
        <v>40</v>
      </c>
      <c r="G45" s="39" t="s">
        <v>41</v>
      </c>
      <c r="H45" s="39" t="s">
        <v>42</v>
      </c>
      <c r="I45" s="39" t="s">
        <v>43</v>
      </c>
      <c r="J45" s="39" t="s">
        <v>44</v>
      </c>
      <c r="K45" s="39" t="s">
        <v>45</v>
      </c>
      <c r="L45" s="39" t="s">
        <v>31</v>
      </c>
      <c r="M45" s="39" t="s">
        <v>35</v>
      </c>
      <c r="N45" s="46"/>
    </row>
    <row r="46" spans="1:14">
      <c r="A46" s="7" t="s">
        <v>3</v>
      </c>
      <c r="B46" s="42">
        <v>145.1</v>
      </c>
      <c r="C46" s="42">
        <v>148.69999999999999</v>
      </c>
      <c r="D46" s="42">
        <v>147.69999999999999</v>
      </c>
      <c r="E46" s="42">
        <v>149.6</v>
      </c>
      <c r="F46" s="42">
        <v>149.6</v>
      </c>
      <c r="G46" s="42">
        <v>148.9</v>
      </c>
      <c r="H46" s="42">
        <v>148.4</v>
      </c>
      <c r="I46" s="42">
        <v>147.5</v>
      </c>
      <c r="J46" s="42">
        <v>146.80000000000001</v>
      </c>
      <c r="K46" s="42">
        <v>146</v>
      </c>
      <c r="L46" s="42">
        <v>144.9</v>
      </c>
      <c r="M46" s="42">
        <v>144.30000000000001</v>
      </c>
      <c r="N46" s="43">
        <f t="shared" ref="N46:N78" si="7">(M46-B46)/B46*100</f>
        <v>-0.55134390075808615</v>
      </c>
    </row>
    <row r="47" spans="1:14">
      <c r="A47" s="7" t="s">
        <v>4</v>
      </c>
      <c r="B47" s="42">
        <v>167</v>
      </c>
      <c r="C47" s="42">
        <v>184.2</v>
      </c>
      <c r="D47" s="42">
        <v>184.2</v>
      </c>
      <c r="E47" s="42">
        <v>192.7</v>
      </c>
      <c r="F47" s="42">
        <v>192.7</v>
      </c>
      <c r="G47" s="42">
        <v>190.9</v>
      </c>
      <c r="H47" s="42">
        <v>187.1</v>
      </c>
      <c r="I47" s="42">
        <v>188.9</v>
      </c>
      <c r="J47" s="42">
        <v>191</v>
      </c>
      <c r="K47" s="42">
        <v>191</v>
      </c>
      <c r="L47" s="42">
        <v>190.1</v>
      </c>
      <c r="M47" s="42">
        <v>186.5</v>
      </c>
      <c r="N47" s="43">
        <f t="shared" si="7"/>
        <v>11.676646706586826</v>
      </c>
    </row>
    <row r="48" spans="1:14">
      <c r="A48" s="7" t="s">
        <v>5</v>
      </c>
      <c r="B48" s="42">
        <v>148.1</v>
      </c>
      <c r="C48" s="42">
        <v>148.80000000000001</v>
      </c>
      <c r="D48" s="42">
        <v>156.69999999999999</v>
      </c>
      <c r="E48" s="42">
        <v>151.4</v>
      </c>
      <c r="F48" s="42">
        <v>151.4</v>
      </c>
      <c r="G48" s="42">
        <v>150.80000000000001</v>
      </c>
      <c r="H48" s="42">
        <v>152.5</v>
      </c>
      <c r="I48" s="42">
        <v>161.4</v>
      </c>
      <c r="J48" s="42">
        <v>173.6</v>
      </c>
      <c r="K48" s="42">
        <v>175.3</v>
      </c>
      <c r="L48" s="42">
        <v>175.3</v>
      </c>
      <c r="M48" s="42">
        <v>168.7</v>
      </c>
      <c r="N48" s="43">
        <f t="shared" si="7"/>
        <v>13.909520594193109</v>
      </c>
    </row>
    <row r="49" spans="1:16">
      <c r="A49" s="7" t="s">
        <v>6</v>
      </c>
      <c r="B49" s="42">
        <v>151.5</v>
      </c>
      <c r="C49" s="42">
        <v>155.6</v>
      </c>
      <c r="D49" s="42">
        <v>153</v>
      </c>
      <c r="E49" s="42">
        <v>153.30000000000001</v>
      </c>
      <c r="F49" s="42">
        <v>153.30000000000001</v>
      </c>
      <c r="G49" s="42">
        <v>153.30000000000001</v>
      </c>
      <c r="H49" s="42">
        <v>153.6</v>
      </c>
      <c r="I49" s="42">
        <v>153.6</v>
      </c>
      <c r="J49" s="42">
        <v>153.80000000000001</v>
      </c>
      <c r="K49" s="42">
        <v>154.1</v>
      </c>
      <c r="L49" s="42">
        <v>154.1</v>
      </c>
      <c r="M49" s="42">
        <v>154.69999999999999</v>
      </c>
      <c r="N49" s="43">
        <f t="shared" si="7"/>
        <v>2.1122112211221045</v>
      </c>
    </row>
    <row r="50" spans="1:16">
      <c r="A50" s="7" t="s">
        <v>7</v>
      </c>
      <c r="B50" s="42">
        <v>131.19999999999999</v>
      </c>
      <c r="C50" s="42">
        <v>135.1</v>
      </c>
      <c r="D50" s="42">
        <v>136.30000000000001</v>
      </c>
      <c r="E50" s="42">
        <v>136.30000000000001</v>
      </c>
      <c r="F50" s="42">
        <v>136.30000000000001</v>
      </c>
      <c r="G50" s="42">
        <v>137.4</v>
      </c>
      <c r="H50" s="42">
        <v>138.19999999999999</v>
      </c>
      <c r="I50" s="42">
        <v>140.1</v>
      </c>
      <c r="J50" s="42">
        <v>142.69999999999999</v>
      </c>
      <c r="K50" s="42">
        <v>146.6</v>
      </c>
      <c r="L50" s="42">
        <v>150.9</v>
      </c>
      <c r="M50" s="42">
        <v>158.69999999999999</v>
      </c>
      <c r="N50" s="43">
        <f t="shared" si="7"/>
        <v>20.960365853658537</v>
      </c>
    </row>
    <row r="51" spans="1:16">
      <c r="A51" s="7" t="s">
        <v>8</v>
      </c>
      <c r="B51" s="42">
        <v>142.5</v>
      </c>
      <c r="C51" s="42">
        <v>149.9</v>
      </c>
      <c r="D51" s="42">
        <v>147.4</v>
      </c>
      <c r="E51" s="42">
        <v>147.19999999999999</v>
      </c>
      <c r="F51" s="42">
        <v>147.19999999999999</v>
      </c>
      <c r="G51" s="42">
        <v>150.4</v>
      </c>
      <c r="H51" s="42">
        <v>150.9</v>
      </c>
      <c r="I51" s="42">
        <v>151.19999999999999</v>
      </c>
      <c r="J51" s="42">
        <v>148.4</v>
      </c>
      <c r="K51" s="42">
        <v>147.69999999999999</v>
      </c>
      <c r="L51" s="42">
        <v>149.6</v>
      </c>
      <c r="M51" s="42">
        <v>150.69999999999999</v>
      </c>
      <c r="N51" s="43">
        <f t="shared" si="7"/>
        <v>5.7543859649122728</v>
      </c>
    </row>
    <row r="52" spans="1:16">
      <c r="A52" s="7" t="s">
        <v>9</v>
      </c>
      <c r="B52" s="42">
        <v>157.30000000000001</v>
      </c>
      <c r="C52" s="42">
        <v>168.6</v>
      </c>
      <c r="D52" s="42">
        <v>187.7</v>
      </c>
      <c r="E52" s="42">
        <v>156.5</v>
      </c>
      <c r="F52" s="42">
        <v>156.5</v>
      </c>
      <c r="G52" s="42">
        <v>178.1</v>
      </c>
      <c r="H52" s="42">
        <v>186.7</v>
      </c>
      <c r="I52" s="42">
        <v>209.2</v>
      </c>
      <c r="J52" s="42">
        <v>230</v>
      </c>
      <c r="K52" s="42">
        <v>230.5</v>
      </c>
      <c r="L52" s="42">
        <v>194.2</v>
      </c>
      <c r="M52" s="42">
        <v>160</v>
      </c>
      <c r="N52" s="43">
        <f t="shared" si="7"/>
        <v>1.7164653528289819</v>
      </c>
    </row>
    <row r="53" spans="1:16">
      <c r="A53" s="7" t="s">
        <v>10</v>
      </c>
      <c r="B53" s="42">
        <v>141.1</v>
      </c>
      <c r="C53" s="42">
        <v>150.4</v>
      </c>
      <c r="D53" s="42">
        <v>149.4</v>
      </c>
      <c r="E53" s="42">
        <v>150.9</v>
      </c>
      <c r="F53" s="42">
        <v>150.9</v>
      </c>
      <c r="G53" s="42">
        <v>150.4</v>
      </c>
      <c r="H53" s="42">
        <v>149.80000000000001</v>
      </c>
      <c r="I53" s="42">
        <v>150.9</v>
      </c>
      <c r="J53" s="42">
        <v>156.80000000000001</v>
      </c>
      <c r="K53" s="42">
        <v>160.19999999999999</v>
      </c>
      <c r="L53" s="42">
        <v>160.4</v>
      </c>
      <c r="M53" s="42">
        <v>158.80000000000001</v>
      </c>
      <c r="N53" s="43">
        <f t="shared" si="7"/>
        <v>12.544294826364293</v>
      </c>
    </row>
    <row r="54" spans="1:16">
      <c r="A54" s="7" t="s">
        <v>11</v>
      </c>
      <c r="B54" s="42">
        <v>113.2</v>
      </c>
      <c r="C54" s="42">
        <v>120.3</v>
      </c>
      <c r="D54" s="42">
        <v>115.6</v>
      </c>
      <c r="E54" s="42">
        <v>114.2</v>
      </c>
      <c r="F54" s="42">
        <v>114.2</v>
      </c>
      <c r="G54" s="42">
        <v>115.1</v>
      </c>
      <c r="H54" s="42">
        <v>116.4</v>
      </c>
      <c r="I54" s="42">
        <v>116.2</v>
      </c>
      <c r="J54" s="42">
        <v>115.7</v>
      </c>
      <c r="K54" s="42">
        <v>115.3</v>
      </c>
      <c r="L54" s="42">
        <v>114.6</v>
      </c>
      <c r="M54" s="42">
        <v>112.8</v>
      </c>
      <c r="N54" s="43">
        <f t="shared" si="7"/>
        <v>-0.35335689045936897</v>
      </c>
    </row>
    <row r="55" spans="1:16">
      <c r="A55" s="7" t="s">
        <v>12</v>
      </c>
      <c r="B55" s="42">
        <v>153.19999999999999</v>
      </c>
      <c r="C55" s="42">
        <v>157.1</v>
      </c>
      <c r="D55" s="42">
        <v>157.9</v>
      </c>
      <c r="E55" s="42">
        <v>159.5</v>
      </c>
      <c r="F55" s="42">
        <v>159.5</v>
      </c>
      <c r="G55" s="42">
        <v>160</v>
      </c>
      <c r="H55" s="42">
        <v>160.30000000000001</v>
      </c>
      <c r="I55" s="42">
        <v>161</v>
      </c>
      <c r="J55" s="42">
        <v>161.80000000000001</v>
      </c>
      <c r="K55" s="42">
        <v>163</v>
      </c>
      <c r="L55" s="42">
        <v>164</v>
      </c>
      <c r="M55" s="42">
        <v>164.2</v>
      </c>
      <c r="N55" s="43">
        <f t="shared" si="7"/>
        <v>7.1801566579634475</v>
      </c>
    </row>
    <row r="56" spans="1:16">
      <c r="A56" s="7" t="s">
        <v>13</v>
      </c>
      <c r="B56" s="42">
        <v>136.69999999999999</v>
      </c>
      <c r="C56" s="42">
        <v>136.80000000000001</v>
      </c>
      <c r="D56" s="42">
        <v>140.12</v>
      </c>
      <c r="E56" s="42">
        <v>139.4</v>
      </c>
      <c r="F56" s="42">
        <v>139.4</v>
      </c>
      <c r="G56" s="42">
        <v>140.6</v>
      </c>
      <c r="H56" s="42">
        <v>142.19999999999999</v>
      </c>
      <c r="I56" s="42">
        <v>144</v>
      </c>
      <c r="J56" s="42">
        <v>146.5</v>
      </c>
      <c r="K56" s="42">
        <v>149.19999999999999</v>
      </c>
      <c r="L56" s="42">
        <v>151.80000000000001</v>
      </c>
      <c r="M56" s="42">
        <v>155.5</v>
      </c>
      <c r="N56" s="43">
        <f t="shared" si="7"/>
        <v>13.752743233357728</v>
      </c>
    </row>
    <row r="57" spans="1:16">
      <c r="A57" s="7" t="s">
        <v>14</v>
      </c>
      <c r="B57" s="42">
        <v>159.6</v>
      </c>
      <c r="C57" s="42">
        <v>161.80000000000001</v>
      </c>
      <c r="D57" s="42">
        <v>161.80000000000001</v>
      </c>
      <c r="E57" s="42">
        <v>161.80000000000001</v>
      </c>
      <c r="F57" s="42">
        <v>161.80000000000001</v>
      </c>
      <c r="G57" s="42">
        <v>162.30000000000001</v>
      </c>
      <c r="H57" s="42">
        <v>162.9</v>
      </c>
      <c r="I57" s="42">
        <v>163.19999999999999</v>
      </c>
      <c r="J57" s="42">
        <v>163.80000000000001</v>
      </c>
      <c r="K57" s="42">
        <v>164.8</v>
      </c>
      <c r="L57" s="42">
        <v>165.6</v>
      </c>
      <c r="M57" s="42">
        <v>167.5</v>
      </c>
      <c r="N57" s="43">
        <f t="shared" si="7"/>
        <v>4.9498746867167958</v>
      </c>
    </row>
    <row r="58" spans="1:16">
      <c r="A58" s="7" t="s">
        <v>15</v>
      </c>
      <c r="B58" s="42">
        <v>148.9</v>
      </c>
      <c r="C58" s="42">
        <v>151.4</v>
      </c>
      <c r="D58" s="42">
        <v>156.6</v>
      </c>
      <c r="E58" s="42">
        <v>154</v>
      </c>
      <c r="F58" s="42">
        <v>154</v>
      </c>
      <c r="G58" s="42">
        <v>157</v>
      </c>
      <c r="H58" s="42">
        <v>158</v>
      </c>
      <c r="I58" s="42">
        <v>161.4</v>
      </c>
      <c r="J58" s="42">
        <v>164.7</v>
      </c>
      <c r="K58" s="42">
        <v>165.4</v>
      </c>
      <c r="L58" s="42">
        <v>161</v>
      </c>
      <c r="M58" s="42">
        <v>156.9</v>
      </c>
      <c r="N58" s="43">
        <f t="shared" si="7"/>
        <v>5.3727333781061111</v>
      </c>
    </row>
    <row r="59" spans="1:16">
      <c r="A59" s="7" t="s">
        <v>16</v>
      </c>
      <c r="B59" s="42">
        <v>171.2</v>
      </c>
      <c r="C59" s="42">
        <v>180.6</v>
      </c>
      <c r="D59" s="42">
        <v>180.6</v>
      </c>
      <c r="E59" s="42">
        <v>183.5</v>
      </c>
      <c r="F59" s="42">
        <v>183.5</v>
      </c>
      <c r="G59" s="42">
        <v>182.6</v>
      </c>
      <c r="H59" s="42">
        <v>184.4</v>
      </c>
      <c r="I59" s="42">
        <v>184.3</v>
      </c>
      <c r="J59" s="42">
        <v>184.8</v>
      </c>
      <c r="K59" s="42">
        <v>185.4</v>
      </c>
      <c r="L59" s="42">
        <v>186.5</v>
      </c>
      <c r="M59" s="42">
        <v>188.3</v>
      </c>
      <c r="N59" s="43">
        <f t="shared" si="7"/>
        <v>9.9883177570093604</v>
      </c>
    </row>
    <row r="60" spans="1:16">
      <c r="A60" s="7" t="s">
        <v>17</v>
      </c>
      <c r="B60" s="42">
        <v>151.19999999999999</v>
      </c>
      <c r="C60" s="42">
        <v>152.30000000000001</v>
      </c>
      <c r="D60" s="42">
        <v>152.30000000000001</v>
      </c>
      <c r="E60" s="42">
        <v>152.5</v>
      </c>
      <c r="F60" s="42">
        <v>152.5</v>
      </c>
      <c r="G60" s="42">
        <v>153.1</v>
      </c>
      <c r="H60" s="42">
        <v>153.4</v>
      </c>
      <c r="I60" s="42">
        <v>153.69999999999999</v>
      </c>
      <c r="J60" s="42">
        <v>154.30000000000001</v>
      </c>
      <c r="K60" s="42">
        <v>155</v>
      </c>
      <c r="L60" s="42">
        <v>155.5</v>
      </c>
      <c r="M60" s="42">
        <v>157.19999999999999</v>
      </c>
      <c r="N60" s="43">
        <f t="shared" si="7"/>
        <v>3.9682539682539688</v>
      </c>
    </row>
    <row r="61" spans="1:16">
      <c r="A61" s="7" t="s">
        <v>18</v>
      </c>
      <c r="B61" s="42">
        <v>141.9</v>
      </c>
      <c r="C61" s="42">
        <v>142.9</v>
      </c>
      <c r="D61" s="42">
        <v>142.9</v>
      </c>
      <c r="E61" s="42">
        <v>144.4</v>
      </c>
      <c r="F61" s="42">
        <v>144.4</v>
      </c>
      <c r="G61" s="42">
        <v>143.4</v>
      </c>
      <c r="H61" s="42">
        <v>144.30000000000001</v>
      </c>
      <c r="I61" s="42">
        <v>144.6</v>
      </c>
      <c r="J61" s="42">
        <v>144.9</v>
      </c>
      <c r="K61" s="42">
        <v>145.4</v>
      </c>
      <c r="L61" s="42">
        <v>146.1</v>
      </c>
      <c r="M61" s="42">
        <v>147.4</v>
      </c>
      <c r="N61" s="43">
        <f t="shared" si="7"/>
        <v>3.8759689922480618</v>
      </c>
      <c r="P61" s="57" t="s">
        <v>61</v>
      </c>
    </row>
    <row r="62" spans="1:16" ht="15">
      <c r="A62" s="7" t="s">
        <v>19</v>
      </c>
      <c r="B62" s="42">
        <v>149.80000000000001</v>
      </c>
      <c r="C62" s="42">
        <v>150.9</v>
      </c>
      <c r="D62" s="42">
        <v>150.9</v>
      </c>
      <c r="E62" s="42">
        <v>151.4</v>
      </c>
      <c r="F62" s="42">
        <v>151.4</v>
      </c>
      <c r="G62" s="42">
        <v>151.69999999999999</v>
      </c>
      <c r="H62" s="42">
        <v>152</v>
      </c>
      <c r="I62" s="42">
        <v>152.30000000000001</v>
      </c>
      <c r="J62" s="42">
        <v>152.80000000000001</v>
      </c>
      <c r="K62" s="42">
        <v>153.6</v>
      </c>
      <c r="L62" s="42">
        <v>154.19999999999999</v>
      </c>
      <c r="M62" s="42">
        <v>155.80000000000001</v>
      </c>
      <c r="N62" s="43">
        <f t="shared" si="7"/>
        <v>4.005340453938584</v>
      </c>
      <c r="P62" s="68" t="s">
        <v>98</v>
      </c>
    </row>
    <row r="63" spans="1:16">
      <c r="A63" s="7" t="s">
        <v>20</v>
      </c>
      <c r="B63" s="42">
        <v>154.5</v>
      </c>
      <c r="C63" s="42">
        <v>155.6</v>
      </c>
      <c r="D63" s="42">
        <v>139.30000000000001</v>
      </c>
      <c r="E63" s="42">
        <v>154.69999999999999</v>
      </c>
      <c r="F63" s="42">
        <v>154.69999999999999</v>
      </c>
      <c r="G63" s="42">
        <v>155.5</v>
      </c>
      <c r="H63" s="42">
        <v>156.30000000000001</v>
      </c>
      <c r="I63" s="42">
        <v>156.5</v>
      </c>
      <c r="J63" s="42">
        <v>158</v>
      </c>
      <c r="K63" s="42">
        <v>158.4</v>
      </c>
      <c r="L63" s="42">
        <v>157.69999999999999</v>
      </c>
      <c r="M63" s="42">
        <v>159.80000000000001</v>
      </c>
      <c r="N63" s="43">
        <f t="shared" si="7"/>
        <v>3.4304207119741172</v>
      </c>
      <c r="P63" s="20" t="s">
        <v>99</v>
      </c>
    </row>
    <row r="64" spans="1:16">
      <c r="A64" s="7" t="s">
        <v>21</v>
      </c>
      <c r="B64" s="42">
        <v>148.9</v>
      </c>
      <c r="C64" s="42">
        <v>144.1</v>
      </c>
      <c r="D64" s="42">
        <v>143.30000000000001</v>
      </c>
      <c r="E64" s="42">
        <v>141.9</v>
      </c>
      <c r="F64" s="42">
        <v>141.9</v>
      </c>
      <c r="G64" s="42">
        <v>143</v>
      </c>
      <c r="H64" s="42">
        <v>142.9</v>
      </c>
      <c r="I64" s="42">
        <v>143.1</v>
      </c>
      <c r="J64" s="42">
        <v>143.6</v>
      </c>
      <c r="K64" s="42">
        <v>144.6</v>
      </c>
      <c r="L64" s="42">
        <v>147.9</v>
      </c>
      <c r="M64" s="42">
        <v>152.4</v>
      </c>
      <c r="N64" s="43">
        <f t="shared" si="7"/>
        <v>2.350570852921424</v>
      </c>
      <c r="P64" s="20" t="s">
        <v>100</v>
      </c>
    </row>
    <row r="65" spans="1:14">
      <c r="A65" s="7" t="s">
        <v>22</v>
      </c>
      <c r="B65" s="42">
        <v>146.4</v>
      </c>
      <c r="C65" s="42">
        <v>147.5</v>
      </c>
      <c r="D65" s="42">
        <v>147.5</v>
      </c>
      <c r="E65" s="42">
        <v>146.4</v>
      </c>
      <c r="F65" s="42">
        <v>146.4</v>
      </c>
      <c r="G65" s="42">
        <v>148.4</v>
      </c>
      <c r="H65" s="42">
        <v>148.69999999999999</v>
      </c>
      <c r="I65" s="42">
        <v>148.69999999999999</v>
      </c>
      <c r="J65" s="42">
        <v>149.19999999999999</v>
      </c>
      <c r="K65" s="42">
        <v>149.69999999999999</v>
      </c>
      <c r="L65" s="42">
        <v>150</v>
      </c>
      <c r="M65" s="42">
        <v>150.9</v>
      </c>
      <c r="N65" s="43">
        <f t="shared" si="7"/>
        <v>3.0737704918032787</v>
      </c>
    </row>
    <row r="66" spans="1:14">
      <c r="A66" s="7" t="s">
        <v>23</v>
      </c>
      <c r="B66" s="42">
        <v>152.30000000000001</v>
      </c>
      <c r="C66" s="42">
        <v>150.69999999999999</v>
      </c>
      <c r="D66" s="42">
        <v>153.5</v>
      </c>
      <c r="E66" s="42">
        <v>154.4</v>
      </c>
      <c r="F66" s="42">
        <v>154.4</v>
      </c>
      <c r="G66" s="42">
        <v>155</v>
      </c>
      <c r="H66" s="42">
        <v>155.6</v>
      </c>
      <c r="I66" s="42">
        <v>156.30000000000001</v>
      </c>
      <c r="J66" s="42">
        <v>157.19999999999999</v>
      </c>
      <c r="K66" s="42">
        <v>158.30000000000001</v>
      </c>
      <c r="L66" s="42">
        <v>159.30000000000001</v>
      </c>
      <c r="M66" s="42">
        <v>161.30000000000001</v>
      </c>
      <c r="N66" s="43">
        <f t="shared" si="7"/>
        <v>5.9093893630991463</v>
      </c>
    </row>
    <row r="67" spans="1:14">
      <c r="A67" s="7" t="s">
        <v>24</v>
      </c>
      <c r="B67" s="42">
        <v>129.9</v>
      </c>
      <c r="C67" s="42">
        <v>136.30000000000001</v>
      </c>
      <c r="D67" s="42">
        <v>136.30000000000001</v>
      </c>
      <c r="E67" s="42">
        <v>135</v>
      </c>
      <c r="F67" s="42">
        <v>135</v>
      </c>
      <c r="G67" s="42">
        <v>138.5</v>
      </c>
      <c r="H67" s="42">
        <v>139.6</v>
      </c>
      <c r="I67" s="42">
        <v>140.6</v>
      </c>
      <c r="J67" s="42">
        <v>140.4</v>
      </c>
      <c r="K67" s="42">
        <v>140.69999999999999</v>
      </c>
      <c r="L67" s="42">
        <v>141.9</v>
      </c>
      <c r="M67" s="42">
        <v>145.1</v>
      </c>
      <c r="N67" s="43">
        <f t="shared" si="7"/>
        <v>11.701308698999222</v>
      </c>
    </row>
    <row r="68" spans="1:14">
      <c r="A68" s="7" t="s">
        <v>25</v>
      </c>
      <c r="B68" s="42">
        <v>143.69999999999999</v>
      </c>
      <c r="C68" s="42">
        <v>146.69999999999999</v>
      </c>
      <c r="D68" s="42">
        <v>146.69999999999999</v>
      </c>
      <c r="E68" s="42">
        <v>148.30000000000001</v>
      </c>
      <c r="F68" s="42">
        <v>148.30000000000001</v>
      </c>
      <c r="G68" s="42">
        <v>146</v>
      </c>
      <c r="H68" s="42">
        <v>146.6</v>
      </c>
      <c r="I68" s="42">
        <v>146.5</v>
      </c>
      <c r="J68" s="42">
        <v>148.4</v>
      </c>
      <c r="K68" s="42">
        <v>148.5</v>
      </c>
      <c r="L68" s="42">
        <v>149.6</v>
      </c>
      <c r="M68" s="42">
        <v>151.5</v>
      </c>
      <c r="N68" s="43">
        <f t="shared" si="7"/>
        <v>5.4279749478079422</v>
      </c>
    </row>
    <row r="69" spans="1:14">
      <c r="A69" s="7" t="s">
        <v>26</v>
      </c>
      <c r="B69" s="42">
        <v>156.1</v>
      </c>
      <c r="C69" s="42">
        <v>157.80000000000001</v>
      </c>
      <c r="D69" s="42">
        <v>157.80000000000001</v>
      </c>
      <c r="E69" s="42">
        <v>156.4</v>
      </c>
      <c r="F69" s="42">
        <v>156.4</v>
      </c>
      <c r="G69" s="42">
        <v>158.5</v>
      </c>
      <c r="H69" s="42">
        <v>157.5</v>
      </c>
      <c r="I69" s="42">
        <v>158.5</v>
      </c>
      <c r="J69" s="42">
        <v>158.6</v>
      </c>
      <c r="K69" s="42">
        <v>159.4</v>
      </c>
      <c r="L69" s="42">
        <v>159.19999999999999</v>
      </c>
      <c r="M69" s="42">
        <v>159.5</v>
      </c>
      <c r="N69" s="43">
        <f t="shared" si="7"/>
        <v>2.1780909673286395</v>
      </c>
    </row>
    <row r="70" spans="1:14">
      <c r="A70" s="7" t="s">
        <v>27</v>
      </c>
      <c r="B70" s="42">
        <v>145.19999999999999</v>
      </c>
      <c r="C70" s="42">
        <v>151.80000000000001</v>
      </c>
      <c r="D70" s="42">
        <v>151.80000000000001</v>
      </c>
      <c r="E70" s="42">
        <v>151.6</v>
      </c>
      <c r="F70" s="42">
        <v>151.6</v>
      </c>
      <c r="G70" s="42">
        <v>154.30000000000001</v>
      </c>
      <c r="H70" s="42">
        <v>158.4</v>
      </c>
      <c r="I70" s="42">
        <v>157</v>
      </c>
      <c r="J70" s="42">
        <v>156.9</v>
      </c>
      <c r="K70" s="42">
        <v>157.1</v>
      </c>
      <c r="L70" s="42">
        <v>156.80000000000001</v>
      </c>
      <c r="M70" s="42">
        <v>155.80000000000001</v>
      </c>
      <c r="N70" s="43">
        <f t="shared" si="7"/>
        <v>7.3002754820936806</v>
      </c>
    </row>
    <row r="71" spans="1:14">
      <c r="A71" s="7" t="s">
        <v>28</v>
      </c>
      <c r="B71" s="42">
        <v>143.80000000000001</v>
      </c>
      <c r="C71" s="42">
        <v>147.5</v>
      </c>
      <c r="D71" s="42">
        <v>147.5</v>
      </c>
      <c r="E71" s="42">
        <v>147</v>
      </c>
      <c r="F71" s="42">
        <v>147</v>
      </c>
      <c r="G71" s="42">
        <v>149</v>
      </c>
      <c r="H71" s="42">
        <v>150</v>
      </c>
      <c r="I71" s="42">
        <v>150.4</v>
      </c>
      <c r="J71" s="42">
        <v>150.69999999999999</v>
      </c>
      <c r="K71" s="42">
        <v>151.19999999999999</v>
      </c>
      <c r="L71" s="42">
        <v>151.9</v>
      </c>
      <c r="M71" s="42">
        <v>153.4</v>
      </c>
      <c r="N71" s="43">
        <f t="shared" si="7"/>
        <v>6.6759388038942937</v>
      </c>
    </row>
    <row r="72" spans="1:14">
      <c r="A72" s="8" t="s">
        <v>29</v>
      </c>
      <c r="B72" s="42">
        <v>148.6</v>
      </c>
      <c r="C72" s="42">
        <v>153.30000000000001</v>
      </c>
      <c r="D72" s="42">
        <v>153.30000000000001</v>
      </c>
      <c r="E72" s="42">
        <v>151.80000000000001</v>
      </c>
      <c r="F72" s="42">
        <v>151.80000000000001</v>
      </c>
      <c r="G72" s="42">
        <v>153.9</v>
      </c>
      <c r="H72" s="42">
        <v>154.69999999999999</v>
      </c>
      <c r="I72" s="42">
        <v>156.4</v>
      </c>
      <c r="J72" s="42">
        <v>158.4</v>
      </c>
      <c r="K72" s="42">
        <v>158.9</v>
      </c>
      <c r="L72" s="42">
        <v>157.30000000000001</v>
      </c>
      <c r="M72" s="42">
        <v>156.6</v>
      </c>
      <c r="N72" s="43">
        <f t="shared" si="7"/>
        <v>5.3835800807537009</v>
      </c>
    </row>
    <row r="73" spans="1:14">
      <c r="A73" s="8" t="s">
        <v>60</v>
      </c>
      <c r="B73" s="42">
        <f t="shared" ref="B73:M73" si="8">B58+B57+B56+B55+B54+B53+B52+B51+B50+B49+B48+B47+B46</f>
        <v>1895.3999999999999</v>
      </c>
      <c r="C73" s="42">
        <f t="shared" si="8"/>
        <v>1968.6999999999998</v>
      </c>
      <c r="D73" s="42">
        <f t="shared" si="8"/>
        <v>1994.42</v>
      </c>
      <c r="E73" s="42">
        <f t="shared" si="8"/>
        <v>1966.8000000000002</v>
      </c>
      <c r="F73" s="42">
        <f t="shared" si="8"/>
        <v>1966.8000000000002</v>
      </c>
      <c r="G73" s="42">
        <f t="shared" si="8"/>
        <v>1995.2000000000003</v>
      </c>
      <c r="H73" s="42">
        <f t="shared" si="8"/>
        <v>2007</v>
      </c>
      <c r="I73" s="42">
        <f t="shared" si="8"/>
        <v>2048.6000000000004</v>
      </c>
      <c r="J73" s="42">
        <f t="shared" si="8"/>
        <v>2095.6</v>
      </c>
      <c r="K73" s="42">
        <f t="shared" si="8"/>
        <v>2109.1</v>
      </c>
      <c r="L73" s="42">
        <f t="shared" si="8"/>
        <v>2076.5</v>
      </c>
      <c r="M73" s="42">
        <f t="shared" si="8"/>
        <v>2039.3</v>
      </c>
      <c r="N73" s="43">
        <f t="shared" si="7"/>
        <v>7.5920649994724112</v>
      </c>
    </row>
    <row r="74" spans="1:14">
      <c r="A74" s="8" t="s">
        <v>49</v>
      </c>
      <c r="B74" s="42">
        <f t="shared" ref="B74:M74" si="9">SUM(B60:B62)</f>
        <v>442.90000000000003</v>
      </c>
      <c r="C74" s="42">
        <f t="shared" si="9"/>
        <v>446.1</v>
      </c>
      <c r="D74" s="42">
        <f t="shared" si="9"/>
        <v>446.1</v>
      </c>
      <c r="E74" s="42">
        <f t="shared" si="9"/>
        <v>448.29999999999995</v>
      </c>
      <c r="F74" s="42">
        <f t="shared" si="9"/>
        <v>448.29999999999995</v>
      </c>
      <c r="G74" s="42">
        <f t="shared" si="9"/>
        <v>448.2</v>
      </c>
      <c r="H74" s="42">
        <f t="shared" si="9"/>
        <v>449.70000000000005</v>
      </c>
      <c r="I74" s="42">
        <f t="shared" si="9"/>
        <v>450.59999999999997</v>
      </c>
      <c r="J74" s="42">
        <f t="shared" si="9"/>
        <v>452.00000000000006</v>
      </c>
      <c r="K74" s="42">
        <f t="shared" si="9"/>
        <v>454</v>
      </c>
      <c r="L74" s="42">
        <f t="shared" si="9"/>
        <v>455.8</v>
      </c>
      <c r="M74" s="42">
        <f t="shared" si="9"/>
        <v>460.40000000000003</v>
      </c>
      <c r="N74" s="43">
        <f t="shared" si="7"/>
        <v>3.9512305260781213</v>
      </c>
    </row>
    <row r="75" spans="1:14">
      <c r="A75" s="8" t="s">
        <v>50</v>
      </c>
      <c r="B75" s="42">
        <f t="shared" ref="B75:M75" si="10">SUM(B67,B69,B68)</f>
        <v>429.7</v>
      </c>
      <c r="C75" s="42">
        <f t="shared" si="10"/>
        <v>440.8</v>
      </c>
      <c r="D75" s="42">
        <f t="shared" si="10"/>
        <v>440.8</v>
      </c>
      <c r="E75" s="42">
        <f t="shared" si="10"/>
        <v>439.7</v>
      </c>
      <c r="F75" s="42">
        <f t="shared" si="10"/>
        <v>439.7</v>
      </c>
      <c r="G75" s="42">
        <f t="shared" si="10"/>
        <v>443</v>
      </c>
      <c r="H75" s="42">
        <f t="shared" si="10"/>
        <v>443.70000000000005</v>
      </c>
      <c r="I75" s="42">
        <f t="shared" si="10"/>
        <v>445.6</v>
      </c>
      <c r="J75" s="42">
        <f t="shared" si="10"/>
        <v>447.4</v>
      </c>
      <c r="K75" s="42">
        <f t="shared" si="10"/>
        <v>448.6</v>
      </c>
      <c r="L75" s="42">
        <f t="shared" si="10"/>
        <v>450.70000000000005</v>
      </c>
      <c r="M75" s="42">
        <f t="shared" si="10"/>
        <v>456.1</v>
      </c>
      <c r="N75" s="43">
        <f t="shared" si="7"/>
        <v>6.1438212706539526</v>
      </c>
    </row>
    <row r="76" spans="1:14">
      <c r="A76" s="8" t="s">
        <v>51</v>
      </c>
      <c r="B76" s="42">
        <f t="shared" ref="B76:M76" si="11">SUM(B66,B70)</f>
        <v>297.5</v>
      </c>
      <c r="C76" s="42">
        <f t="shared" si="11"/>
        <v>302.5</v>
      </c>
      <c r="D76" s="42">
        <f t="shared" si="11"/>
        <v>305.3</v>
      </c>
      <c r="E76" s="42">
        <f t="shared" si="11"/>
        <v>306</v>
      </c>
      <c r="F76" s="42">
        <f t="shared" si="11"/>
        <v>306</v>
      </c>
      <c r="G76" s="42">
        <f t="shared" si="11"/>
        <v>309.3</v>
      </c>
      <c r="H76" s="42">
        <f t="shared" si="11"/>
        <v>314</v>
      </c>
      <c r="I76" s="42">
        <f t="shared" si="11"/>
        <v>313.3</v>
      </c>
      <c r="J76" s="42">
        <f t="shared" si="11"/>
        <v>314.10000000000002</v>
      </c>
      <c r="K76" s="42">
        <f t="shared" si="11"/>
        <v>315.39999999999998</v>
      </c>
      <c r="L76" s="42">
        <f t="shared" si="11"/>
        <v>316.10000000000002</v>
      </c>
      <c r="M76" s="42">
        <f t="shared" si="11"/>
        <v>317.10000000000002</v>
      </c>
      <c r="N76" s="43">
        <f t="shared" si="7"/>
        <v>6.5882352941176547</v>
      </c>
    </row>
    <row r="77" spans="1:14">
      <c r="A77" s="8" t="s">
        <v>52</v>
      </c>
      <c r="B77" s="42">
        <f t="shared" ref="B77:M77" si="12">SUM(B63,B64,B65)</f>
        <v>449.79999999999995</v>
      </c>
      <c r="C77" s="42">
        <f t="shared" si="12"/>
        <v>447.2</v>
      </c>
      <c r="D77" s="42">
        <f t="shared" si="12"/>
        <v>430.1</v>
      </c>
      <c r="E77" s="42">
        <f t="shared" si="12"/>
        <v>443</v>
      </c>
      <c r="F77" s="42">
        <f t="shared" si="12"/>
        <v>443</v>
      </c>
      <c r="G77" s="42">
        <f t="shared" si="12"/>
        <v>446.9</v>
      </c>
      <c r="H77" s="42">
        <f t="shared" si="12"/>
        <v>447.90000000000003</v>
      </c>
      <c r="I77" s="42">
        <f t="shared" si="12"/>
        <v>448.3</v>
      </c>
      <c r="J77" s="42">
        <f t="shared" si="12"/>
        <v>450.8</v>
      </c>
      <c r="K77" s="42">
        <f t="shared" si="12"/>
        <v>452.7</v>
      </c>
      <c r="L77" s="42">
        <f t="shared" si="12"/>
        <v>455.6</v>
      </c>
      <c r="M77" s="42">
        <f t="shared" si="12"/>
        <v>463.1</v>
      </c>
      <c r="N77" s="43">
        <f t="shared" si="7"/>
        <v>2.9568697198755158</v>
      </c>
    </row>
    <row r="78" spans="1:14">
      <c r="A78" s="8" t="s">
        <v>53</v>
      </c>
      <c r="B78" s="42">
        <f t="shared" ref="B78:M78" si="13">SUM(B71,B59)</f>
        <v>315</v>
      </c>
      <c r="C78" s="42">
        <f t="shared" si="13"/>
        <v>328.1</v>
      </c>
      <c r="D78" s="42">
        <f t="shared" si="13"/>
        <v>328.1</v>
      </c>
      <c r="E78" s="42">
        <f t="shared" si="13"/>
        <v>330.5</v>
      </c>
      <c r="F78" s="42">
        <f t="shared" si="13"/>
        <v>330.5</v>
      </c>
      <c r="G78" s="42">
        <f t="shared" si="13"/>
        <v>331.6</v>
      </c>
      <c r="H78" s="42">
        <f t="shared" si="13"/>
        <v>334.4</v>
      </c>
      <c r="I78" s="42">
        <f t="shared" si="13"/>
        <v>334.70000000000005</v>
      </c>
      <c r="J78" s="42">
        <f t="shared" si="13"/>
        <v>335.5</v>
      </c>
      <c r="K78" s="42">
        <f t="shared" si="13"/>
        <v>336.6</v>
      </c>
      <c r="L78" s="42">
        <f t="shared" si="13"/>
        <v>338.4</v>
      </c>
      <c r="M78" s="42">
        <f t="shared" si="13"/>
        <v>341.70000000000005</v>
      </c>
      <c r="N78" s="43">
        <f t="shared" si="7"/>
        <v>8.4761904761904905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16EC-5720-4760-B0D1-E2E58EBBB7FF}">
  <dimension ref="A1:AL38"/>
  <sheetViews>
    <sheetView topLeftCell="D1" workbookViewId="0">
      <selection activeCell="AI19" sqref="AI19"/>
    </sheetView>
  </sheetViews>
  <sheetFormatPr defaultRowHeight="14.45"/>
  <cols>
    <col min="1" max="1" width="30.42578125" bestFit="1" customWidth="1"/>
    <col min="31" max="31" width="10.28515625" bestFit="1" customWidth="1"/>
    <col min="32" max="32" width="12.7109375" bestFit="1" customWidth="1"/>
    <col min="34" max="34" width="36.5703125" bestFit="1" customWidth="1"/>
    <col min="35" max="35" width="67.7109375" customWidth="1"/>
  </cols>
  <sheetData>
    <row r="1" spans="1:32" ht="20.45">
      <c r="A1" s="22" t="s">
        <v>101</v>
      </c>
    </row>
    <row r="3" spans="1:32">
      <c r="A3" s="50" t="s">
        <v>1</v>
      </c>
      <c r="B3" s="52">
        <v>2021</v>
      </c>
      <c r="C3" s="52">
        <v>2021</v>
      </c>
      <c r="D3" s="52">
        <v>2021</v>
      </c>
      <c r="E3" s="52">
        <v>2021</v>
      </c>
      <c r="F3" s="52">
        <v>2021</v>
      </c>
      <c r="G3" s="52">
        <v>2021</v>
      </c>
      <c r="H3" s="52">
        <v>2021</v>
      </c>
      <c r="I3" s="52">
        <v>2021</v>
      </c>
      <c r="J3" s="52">
        <v>2021</v>
      </c>
      <c r="K3" s="52">
        <v>2021</v>
      </c>
      <c r="L3" s="52">
        <v>2021</v>
      </c>
      <c r="M3" s="52">
        <v>2021</v>
      </c>
      <c r="N3" s="52">
        <v>2022</v>
      </c>
      <c r="O3" s="52">
        <v>2022</v>
      </c>
      <c r="P3" s="52">
        <v>2022</v>
      </c>
      <c r="Q3" s="52">
        <v>2022</v>
      </c>
      <c r="R3" s="52">
        <v>2022</v>
      </c>
      <c r="S3" s="52">
        <v>2022</v>
      </c>
      <c r="T3" s="52">
        <v>2022</v>
      </c>
      <c r="U3" s="52">
        <v>2022</v>
      </c>
      <c r="V3" s="52">
        <v>2022</v>
      </c>
      <c r="W3" s="52">
        <v>2022</v>
      </c>
      <c r="X3" s="52">
        <v>2022</v>
      </c>
      <c r="Y3" s="52">
        <v>2022</v>
      </c>
      <c r="Z3" s="52">
        <v>2023</v>
      </c>
      <c r="AA3" s="52">
        <v>2023</v>
      </c>
      <c r="AB3" s="52">
        <v>2023</v>
      </c>
      <c r="AC3" s="52">
        <v>2023</v>
      </c>
      <c r="AD3" s="52">
        <v>2023</v>
      </c>
      <c r="AE3" s="49" t="s">
        <v>102</v>
      </c>
    </row>
    <row r="4" spans="1:32">
      <c r="A4" s="51" t="s">
        <v>2</v>
      </c>
      <c r="B4" s="53" t="s">
        <v>31</v>
      </c>
      <c r="C4" s="53" t="s">
        <v>35</v>
      </c>
      <c r="D4" s="53" t="s">
        <v>36</v>
      </c>
      <c r="E4" s="53" t="s">
        <v>37</v>
      </c>
      <c r="F4" s="53" t="s">
        <v>38</v>
      </c>
      <c r="G4" s="53" t="s">
        <v>39</v>
      </c>
      <c r="H4" s="53" t="s">
        <v>40</v>
      </c>
      <c r="I4" s="53" t="s">
        <v>41</v>
      </c>
      <c r="J4" s="53" t="s">
        <v>42</v>
      </c>
      <c r="K4" s="53" t="s">
        <v>43</v>
      </c>
      <c r="L4" s="53" t="s">
        <v>44</v>
      </c>
      <c r="M4" s="53" t="s">
        <v>45</v>
      </c>
      <c r="N4" s="53" t="s">
        <v>31</v>
      </c>
      <c r="O4" s="53" t="s">
        <v>35</v>
      </c>
      <c r="P4" s="53" t="s">
        <v>36</v>
      </c>
      <c r="Q4" s="53" t="s">
        <v>37</v>
      </c>
      <c r="R4" s="53" t="s">
        <v>38</v>
      </c>
      <c r="S4" s="53" t="s">
        <v>39</v>
      </c>
      <c r="T4" s="53" t="s">
        <v>40</v>
      </c>
      <c r="U4" s="53" t="s">
        <v>41</v>
      </c>
      <c r="V4" s="53" t="s">
        <v>42</v>
      </c>
      <c r="W4" s="53" t="s">
        <v>43</v>
      </c>
      <c r="X4" s="53" t="s">
        <v>44</v>
      </c>
      <c r="Y4" s="53" t="s">
        <v>45</v>
      </c>
      <c r="Z4" s="53" t="s">
        <v>31</v>
      </c>
      <c r="AA4" s="53" t="s">
        <v>35</v>
      </c>
      <c r="AB4" s="53" t="s">
        <v>36</v>
      </c>
      <c r="AC4" s="53" t="s">
        <v>37</v>
      </c>
      <c r="AD4" s="53" t="s">
        <v>38</v>
      </c>
      <c r="AE4" s="7"/>
    </row>
    <row r="5" spans="1:32">
      <c r="A5" s="46" t="s">
        <v>103</v>
      </c>
      <c r="B5" s="47">
        <v>66695.478654874634</v>
      </c>
      <c r="C5" s="48">
        <v>60965.591062388856</v>
      </c>
      <c r="D5" s="47">
        <v>75470.774130757563</v>
      </c>
      <c r="E5" s="48">
        <v>74207.645156289771</v>
      </c>
      <c r="F5" s="47">
        <v>70046.397374263441</v>
      </c>
      <c r="G5" s="48">
        <v>71679.348913787879</v>
      </c>
      <c r="H5" s="47">
        <v>72860.439470110607</v>
      </c>
      <c r="I5" s="48">
        <v>80983.015512993996</v>
      </c>
      <c r="J5" s="47">
        <v>83035.173906576631</v>
      </c>
      <c r="K5" s="48">
        <v>91471.513995553876</v>
      </c>
      <c r="L5" s="47">
        <v>95105.451863192153</v>
      </c>
      <c r="M5" s="48">
        <v>100380.52800837092</v>
      </c>
      <c r="N5" s="47">
        <v>101828.28887769801</v>
      </c>
      <c r="O5" s="48">
        <v>102317.68803371425</v>
      </c>
      <c r="P5" s="47">
        <v>134181.47733497745</v>
      </c>
      <c r="Q5" s="48">
        <v>151257.77739211501</v>
      </c>
      <c r="R5" s="47">
        <v>137781.52369026651</v>
      </c>
      <c r="S5" s="48">
        <v>140361.99809642398</v>
      </c>
      <c r="T5" s="47">
        <v>148619.35499624049</v>
      </c>
      <c r="U5" s="48">
        <v>120976.19320076992</v>
      </c>
      <c r="V5" s="47">
        <v>110015.88104199871</v>
      </c>
      <c r="W5" s="48">
        <v>116548.19734168371</v>
      </c>
      <c r="X5" s="47">
        <v>118277.27620134089</v>
      </c>
      <c r="Y5" s="48">
        <v>112095.477543425</v>
      </c>
      <c r="Z5" s="47">
        <v>108892.9652336391</v>
      </c>
      <c r="AA5" s="48">
        <v>103743.50619254357</v>
      </c>
      <c r="AB5" s="47">
        <v>107655.66151560735</v>
      </c>
      <c r="AC5" s="48">
        <v>101210.18326534321</v>
      </c>
      <c r="AD5" s="47">
        <v>103486.66840899385</v>
      </c>
      <c r="AE5" s="7"/>
    </row>
    <row r="6" spans="1:32">
      <c r="A6" s="7" t="s">
        <v>3</v>
      </c>
      <c r="B6" s="6">
        <v>144.9</v>
      </c>
      <c r="C6" s="6">
        <v>144.30000000000001</v>
      </c>
      <c r="D6" s="6">
        <v>144.1</v>
      </c>
      <c r="E6" s="6">
        <v>144.30000000000001</v>
      </c>
      <c r="F6" s="6">
        <v>146.30000000000001</v>
      </c>
      <c r="G6" s="6">
        <v>146.69999999999999</v>
      </c>
      <c r="H6" s="6">
        <v>146.4</v>
      </c>
      <c r="I6" s="6">
        <v>146.6</v>
      </c>
      <c r="J6" s="6">
        <v>146.6</v>
      </c>
      <c r="K6" s="6">
        <v>147.4</v>
      </c>
      <c r="L6" s="6">
        <v>148.19999999999999</v>
      </c>
      <c r="M6" s="6">
        <v>148.69999999999999</v>
      </c>
      <c r="N6" s="6">
        <v>149.5</v>
      </c>
      <c r="O6" s="6">
        <v>150</v>
      </c>
      <c r="P6" s="6">
        <v>151.30000000000001</v>
      </c>
      <c r="Q6" s="6">
        <v>152.9</v>
      </c>
      <c r="R6" s="6">
        <v>154.1</v>
      </c>
      <c r="S6" s="6">
        <v>155</v>
      </c>
      <c r="T6" s="6">
        <v>156.5</v>
      </c>
      <c r="U6" s="6">
        <v>160.30000000000001</v>
      </c>
      <c r="V6" s="6">
        <v>163.5</v>
      </c>
      <c r="W6" s="6">
        <v>165.2</v>
      </c>
      <c r="X6" s="6">
        <v>167.4</v>
      </c>
      <c r="Y6" s="6">
        <v>169.2</v>
      </c>
      <c r="Z6" s="6">
        <v>173.8</v>
      </c>
      <c r="AA6" s="6">
        <v>174.4</v>
      </c>
      <c r="AB6" s="6">
        <v>174.4</v>
      </c>
      <c r="AC6" s="6">
        <v>173.8</v>
      </c>
      <c r="AD6" s="6">
        <v>173.7</v>
      </c>
      <c r="AE6" s="32">
        <f>CORREL($B$5:$AD$5,B6:AD6)</f>
        <v>0.43987122593443262</v>
      </c>
    </row>
    <row r="7" spans="1:32">
      <c r="A7" s="7" t="s">
        <v>4</v>
      </c>
      <c r="B7" s="6">
        <v>190.1</v>
      </c>
      <c r="C7" s="6">
        <v>186.5</v>
      </c>
      <c r="D7" s="6">
        <v>192.2</v>
      </c>
      <c r="E7" s="6">
        <v>198</v>
      </c>
      <c r="F7" s="6">
        <v>200.5</v>
      </c>
      <c r="G7" s="6">
        <v>202</v>
      </c>
      <c r="H7" s="6">
        <v>206.8</v>
      </c>
      <c r="I7" s="6">
        <v>204</v>
      </c>
      <c r="J7" s="6">
        <v>204</v>
      </c>
      <c r="K7" s="6">
        <v>204.6</v>
      </c>
      <c r="L7" s="6">
        <v>201.6</v>
      </c>
      <c r="M7" s="6">
        <v>198.8</v>
      </c>
      <c r="N7" s="6">
        <v>198.7</v>
      </c>
      <c r="O7" s="6">
        <v>200.6</v>
      </c>
      <c r="P7" s="6">
        <v>210.7</v>
      </c>
      <c r="Q7" s="6">
        <v>211.8</v>
      </c>
      <c r="R7" s="6">
        <v>217</v>
      </c>
      <c r="S7" s="6">
        <v>219.4</v>
      </c>
      <c r="T7" s="6">
        <v>213</v>
      </c>
      <c r="U7" s="6">
        <v>206.5</v>
      </c>
      <c r="V7" s="6">
        <v>209.2</v>
      </c>
      <c r="W7" s="6">
        <v>210.9</v>
      </c>
      <c r="X7" s="6">
        <v>209.4</v>
      </c>
      <c r="Y7" s="6">
        <v>209</v>
      </c>
      <c r="Z7" s="6">
        <v>210.7</v>
      </c>
      <c r="AA7" s="6">
        <v>207.7</v>
      </c>
      <c r="AB7" s="6">
        <v>207.7</v>
      </c>
      <c r="AC7" s="6">
        <v>209.3</v>
      </c>
      <c r="AD7" s="6">
        <v>214.3</v>
      </c>
      <c r="AE7" s="32">
        <f t="shared" ref="AE7:AE38" si="0">CORREL($B$5:$AD$5,B7:AD7)</f>
        <v>0.79268301824065446</v>
      </c>
      <c r="AF7" s="20" t="s">
        <v>104</v>
      </c>
    </row>
    <row r="8" spans="1:32">
      <c r="A8" s="7" t="s">
        <v>5</v>
      </c>
      <c r="B8" s="6">
        <v>175.3</v>
      </c>
      <c r="C8" s="6">
        <v>168.7</v>
      </c>
      <c r="D8" s="6">
        <v>163.80000000000001</v>
      </c>
      <c r="E8" s="6">
        <v>164.6</v>
      </c>
      <c r="F8" s="6">
        <v>170.3</v>
      </c>
      <c r="G8" s="6">
        <v>180.7</v>
      </c>
      <c r="H8" s="6">
        <v>182.2</v>
      </c>
      <c r="I8" s="6">
        <v>172.8</v>
      </c>
      <c r="J8" s="6">
        <v>172.8</v>
      </c>
      <c r="K8" s="6">
        <v>171.2</v>
      </c>
      <c r="L8" s="6">
        <v>173</v>
      </c>
      <c r="M8" s="6">
        <v>177.9</v>
      </c>
      <c r="N8" s="6">
        <v>178.8</v>
      </c>
      <c r="O8" s="6">
        <v>175.8</v>
      </c>
      <c r="P8" s="6">
        <v>167.8</v>
      </c>
      <c r="Q8" s="6">
        <v>164.5</v>
      </c>
      <c r="R8" s="6">
        <v>162.4</v>
      </c>
      <c r="S8" s="6">
        <v>170.8</v>
      </c>
      <c r="T8" s="6">
        <v>175.2</v>
      </c>
      <c r="U8" s="6">
        <v>169.2</v>
      </c>
      <c r="V8" s="6">
        <v>169.7</v>
      </c>
      <c r="W8" s="6">
        <v>170.9</v>
      </c>
      <c r="X8" s="6">
        <v>181.4</v>
      </c>
      <c r="Y8" s="6">
        <v>190.2</v>
      </c>
      <c r="Z8" s="6">
        <v>194.5</v>
      </c>
      <c r="AA8" s="6">
        <v>175.2</v>
      </c>
      <c r="AB8" s="6">
        <v>175.2</v>
      </c>
      <c r="AC8" s="6">
        <v>169.6</v>
      </c>
      <c r="AD8" s="6">
        <v>173.2</v>
      </c>
      <c r="AE8" s="32">
        <f t="shared" si="0"/>
        <v>-8.3046590697356121E-2</v>
      </c>
      <c r="AF8" s="20" t="s">
        <v>105</v>
      </c>
    </row>
    <row r="9" spans="1:32">
      <c r="A9" s="7" t="s">
        <v>6</v>
      </c>
      <c r="B9" s="6">
        <v>154.1</v>
      </c>
      <c r="C9" s="6">
        <v>154.69999999999999</v>
      </c>
      <c r="D9" s="6">
        <v>154.9</v>
      </c>
      <c r="E9" s="6">
        <v>155.4</v>
      </c>
      <c r="F9" s="6">
        <v>156.1</v>
      </c>
      <c r="G9" s="6">
        <v>156.19999999999999</v>
      </c>
      <c r="H9" s="6">
        <v>157.5</v>
      </c>
      <c r="I9" s="6">
        <v>158.4</v>
      </c>
      <c r="J9" s="6">
        <v>158.4</v>
      </c>
      <c r="K9" s="6">
        <v>158.69999999999999</v>
      </c>
      <c r="L9" s="6">
        <v>159.30000000000001</v>
      </c>
      <c r="M9" s="6">
        <v>159.9</v>
      </c>
      <c r="N9" s="6">
        <v>160.5</v>
      </c>
      <c r="O9" s="6">
        <v>160.69999999999999</v>
      </c>
      <c r="P9" s="6">
        <v>162.19999999999999</v>
      </c>
      <c r="Q9" s="6">
        <v>163.9</v>
      </c>
      <c r="R9" s="6">
        <v>164.9</v>
      </c>
      <c r="S9" s="6">
        <v>165.8</v>
      </c>
      <c r="T9" s="6">
        <v>166.6</v>
      </c>
      <c r="U9" s="6">
        <v>168.1</v>
      </c>
      <c r="V9" s="6">
        <v>169.7</v>
      </c>
      <c r="W9" s="6">
        <v>170.9</v>
      </c>
      <c r="X9" s="6">
        <v>172.3</v>
      </c>
      <c r="Y9" s="6">
        <v>173.6</v>
      </c>
      <c r="Z9" s="6">
        <v>174.6</v>
      </c>
      <c r="AA9" s="6">
        <v>177.3</v>
      </c>
      <c r="AB9" s="6">
        <v>177.3</v>
      </c>
      <c r="AC9" s="6">
        <v>178.4</v>
      </c>
      <c r="AD9" s="6">
        <v>179.5</v>
      </c>
      <c r="AE9" s="32">
        <f t="shared" si="0"/>
        <v>0.52771328180036647</v>
      </c>
    </row>
    <row r="10" spans="1:32">
      <c r="A10" s="7" t="s">
        <v>7</v>
      </c>
      <c r="B10" s="6">
        <v>150.9</v>
      </c>
      <c r="C10" s="6">
        <v>158.69999999999999</v>
      </c>
      <c r="D10" s="6">
        <v>163.9</v>
      </c>
      <c r="E10" s="6">
        <v>170.1</v>
      </c>
      <c r="F10" s="6">
        <v>178.7</v>
      </c>
      <c r="G10" s="6">
        <v>183.7</v>
      </c>
      <c r="H10" s="6">
        <v>182.1</v>
      </c>
      <c r="I10" s="6">
        <v>188</v>
      </c>
      <c r="J10" s="6">
        <v>188</v>
      </c>
      <c r="K10" s="6">
        <v>190.6</v>
      </c>
      <c r="L10" s="6">
        <v>190.1</v>
      </c>
      <c r="M10" s="6">
        <v>187.6</v>
      </c>
      <c r="N10" s="6">
        <v>184.7</v>
      </c>
      <c r="O10" s="6">
        <v>184.9</v>
      </c>
      <c r="P10" s="6">
        <v>194.6</v>
      </c>
      <c r="Q10" s="6">
        <v>199.5</v>
      </c>
      <c r="R10" s="6">
        <v>202.4</v>
      </c>
      <c r="S10" s="6">
        <v>200.9</v>
      </c>
      <c r="T10" s="6">
        <v>195.8</v>
      </c>
      <c r="U10" s="6">
        <v>192.4</v>
      </c>
      <c r="V10" s="6">
        <v>188.7</v>
      </c>
      <c r="W10" s="6">
        <v>186.5</v>
      </c>
      <c r="X10" s="6">
        <v>188.9</v>
      </c>
      <c r="Y10" s="6">
        <v>188.5</v>
      </c>
      <c r="Z10" s="6">
        <v>187.2</v>
      </c>
      <c r="AA10" s="6">
        <v>179.3</v>
      </c>
      <c r="AB10" s="6">
        <v>179.2</v>
      </c>
      <c r="AC10" s="6">
        <v>174.9</v>
      </c>
      <c r="AD10" s="6">
        <v>170</v>
      </c>
      <c r="AE10" s="32">
        <f t="shared" si="0"/>
        <v>0.75142910168854082</v>
      </c>
    </row>
    <row r="11" spans="1:32">
      <c r="A11" s="7" t="s">
        <v>8</v>
      </c>
      <c r="B11" s="6">
        <v>149.6</v>
      </c>
      <c r="C11" s="6">
        <v>150.69999999999999</v>
      </c>
      <c r="D11" s="6">
        <v>153.69999999999999</v>
      </c>
      <c r="E11" s="6">
        <v>164.4</v>
      </c>
      <c r="F11" s="6">
        <v>167.1</v>
      </c>
      <c r="G11" s="6">
        <v>164.6</v>
      </c>
      <c r="H11" s="6">
        <v>163.9</v>
      </c>
      <c r="I11" s="6">
        <v>156.80000000000001</v>
      </c>
      <c r="J11" s="6">
        <v>156.69999999999999</v>
      </c>
      <c r="K11" s="6">
        <v>155.69999999999999</v>
      </c>
      <c r="L11" s="6">
        <v>156.5</v>
      </c>
      <c r="M11" s="6">
        <v>154.9</v>
      </c>
      <c r="N11" s="6">
        <v>153.69999999999999</v>
      </c>
      <c r="O11" s="6">
        <v>153.69999999999999</v>
      </c>
      <c r="P11" s="6">
        <v>157.6</v>
      </c>
      <c r="Q11" s="6">
        <v>172.6</v>
      </c>
      <c r="R11" s="6">
        <v>171</v>
      </c>
      <c r="S11" s="6">
        <v>169.7</v>
      </c>
      <c r="T11" s="6">
        <v>174.2</v>
      </c>
      <c r="U11" s="6">
        <v>172.9</v>
      </c>
      <c r="V11" s="6">
        <v>165.7</v>
      </c>
      <c r="W11" s="6">
        <v>163.80000000000001</v>
      </c>
      <c r="X11" s="6">
        <v>160.69999999999999</v>
      </c>
      <c r="Y11" s="6">
        <v>158</v>
      </c>
      <c r="Z11" s="6">
        <v>158.30000000000001</v>
      </c>
      <c r="AA11" s="6">
        <v>169.5</v>
      </c>
      <c r="AB11" s="6">
        <v>169.5</v>
      </c>
      <c r="AC11" s="6">
        <v>176.3</v>
      </c>
      <c r="AD11" s="6">
        <v>172.2</v>
      </c>
      <c r="AE11" s="32">
        <f t="shared" si="0"/>
        <v>0.5253885312081723</v>
      </c>
    </row>
    <row r="12" spans="1:32">
      <c r="A12" s="7" t="s">
        <v>9</v>
      </c>
      <c r="B12" s="6">
        <v>194.2</v>
      </c>
      <c r="C12" s="6">
        <v>160</v>
      </c>
      <c r="D12" s="6">
        <v>149.5</v>
      </c>
      <c r="E12" s="6">
        <v>144.1</v>
      </c>
      <c r="F12" s="6">
        <v>147.9</v>
      </c>
      <c r="G12" s="6">
        <v>155.4</v>
      </c>
      <c r="H12" s="6">
        <v>164.2</v>
      </c>
      <c r="I12" s="6">
        <v>162.19999999999999</v>
      </c>
      <c r="J12" s="6">
        <v>162.30000000000001</v>
      </c>
      <c r="K12" s="6">
        <v>185.3</v>
      </c>
      <c r="L12" s="6">
        <v>199.2</v>
      </c>
      <c r="M12" s="6">
        <v>188.3</v>
      </c>
      <c r="N12" s="6">
        <v>174.3</v>
      </c>
      <c r="O12" s="6">
        <v>169.7</v>
      </c>
      <c r="P12" s="6">
        <v>166.9</v>
      </c>
      <c r="Q12" s="6">
        <v>166.2</v>
      </c>
      <c r="R12" s="6">
        <v>174.9</v>
      </c>
      <c r="S12" s="6">
        <v>182.3</v>
      </c>
      <c r="T12" s="6">
        <v>182.1</v>
      </c>
      <c r="U12" s="6">
        <v>186.7</v>
      </c>
      <c r="V12" s="6">
        <v>191.8</v>
      </c>
      <c r="W12" s="6">
        <v>199.7</v>
      </c>
      <c r="X12" s="6">
        <v>183.1</v>
      </c>
      <c r="Y12" s="6">
        <v>159.9</v>
      </c>
      <c r="Z12" s="6">
        <v>153.9</v>
      </c>
      <c r="AA12" s="6">
        <v>152.69999999999999</v>
      </c>
      <c r="AB12" s="6">
        <v>152.80000000000001</v>
      </c>
      <c r="AC12" s="6">
        <v>155.4</v>
      </c>
      <c r="AD12" s="6">
        <v>161</v>
      </c>
      <c r="AE12" s="32">
        <f t="shared" si="0"/>
        <v>0.32872482782704315</v>
      </c>
    </row>
    <row r="13" spans="1:32">
      <c r="A13" s="7" t="s">
        <v>10</v>
      </c>
      <c r="B13" s="6">
        <v>160.4</v>
      </c>
      <c r="C13" s="6">
        <v>158.80000000000001</v>
      </c>
      <c r="D13" s="6">
        <v>159.80000000000001</v>
      </c>
      <c r="E13" s="6">
        <v>161.69999999999999</v>
      </c>
      <c r="F13" s="6">
        <v>165.4</v>
      </c>
      <c r="G13" s="6">
        <v>166</v>
      </c>
      <c r="H13" s="6">
        <v>164</v>
      </c>
      <c r="I13" s="6">
        <v>164.1</v>
      </c>
      <c r="J13" s="6">
        <v>164.1</v>
      </c>
      <c r="K13" s="6">
        <v>165.2</v>
      </c>
      <c r="L13" s="6">
        <v>165.3</v>
      </c>
      <c r="M13" s="6">
        <v>164.4</v>
      </c>
      <c r="N13" s="6">
        <v>163.9</v>
      </c>
      <c r="O13" s="6">
        <v>163.69999999999999</v>
      </c>
      <c r="P13" s="6">
        <v>163.9</v>
      </c>
      <c r="Q13" s="6">
        <v>164.7</v>
      </c>
      <c r="R13" s="6">
        <v>164.7</v>
      </c>
      <c r="S13" s="6">
        <v>164.3</v>
      </c>
      <c r="T13" s="6">
        <v>164.3</v>
      </c>
      <c r="U13" s="6">
        <v>167.2</v>
      </c>
      <c r="V13" s="6">
        <v>169.1</v>
      </c>
      <c r="W13" s="6">
        <v>169.8</v>
      </c>
      <c r="X13" s="6">
        <v>170.5</v>
      </c>
      <c r="Y13" s="6">
        <v>170.8</v>
      </c>
      <c r="Z13" s="6">
        <v>170.9</v>
      </c>
      <c r="AA13" s="6">
        <v>171</v>
      </c>
      <c r="AB13" s="6">
        <v>171.1</v>
      </c>
      <c r="AC13" s="6">
        <v>173.4</v>
      </c>
      <c r="AD13" s="6">
        <v>175.6</v>
      </c>
      <c r="AE13" s="32">
        <f t="shared" si="0"/>
        <v>0.32248816651061057</v>
      </c>
    </row>
    <row r="14" spans="1:32">
      <c r="A14" s="7" t="s">
        <v>11</v>
      </c>
      <c r="B14" s="6">
        <v>114.6</v>
      </c>
      <c r="C14" s="6">
        <v>112.8</v>
      </c>
      <c r="D14" s="6">
        <v>112.6</v>
      </c>
      <c r="E14" s="6">
        <v>113.1</v>
      </c>
      <c r="F14" s="6">
        <v>114.8</v>
      </c>
      <c r="G14" s="6">
        <v>115.1</v>
      </c>
      <c r="H14" s="6">
        <v>114.5</v>
      </c>
      <c r="I14" s="6">
        <v>119.7</v>
      </c>
      <c r="J14" s="6">
        <v>119.7</v>
      </c>
      <c r="K14" s="6">
        <v>121.9</v>
      </c>
      <c r="L14" s="6">
        <v>122.4</v>
      </c>
      <c r="M14" s="6">
        <v>121</v>
      </c>
      <c r="N14" s="6">
        <v>120</v>
      </c>
      <c r="O14" s="6">
        <v>118.9</v>
      </c>
      <c r="P14" s="6">
        <v>118.8</v>
      </c>
      <c r="Q14" s="6">
        <v>119</v>
      </c>
      <c r="R14" s="6">
        <v>119.7</v>
      </c>
      <c r="S14" s="6">
        <v>119.9</v>
      </c>
      <c r="T14" s="6">
        <v>120</v>
      </c>
      <c r="U14" s="6">
        <v>120.9</v>
      </c>
      <c r="V14" s="6">
        <v>121.6</v>
      </c>
      <c r="W14" s="6">
        <v>121.9</v>
      </c>
      <c r="X14" s="6">
        <v>122.1</v>
      </c>
      <c r="Y14" s="6">
        <v>121.8</v>
      </c>
      <c r="Z14" s="6">
        <v>121.1</v>
      </c>
      <c r="AA14" s="6">
        <v>120</v>
      </c>
      <c r="AB14" s="6">
        <v>120</v>
      </c>
      <c r="AC14" s="6">
        <v>121.3</v>
      </c>
      <c r="AD14" s="6">
        <v>122.7</v>
      </c>
      <c r="AE14" s="32">
        <f t="shared" si="0"/>
        <v>0.60891818986860835</v>
      </c>
    </row>
    <row r="15" spans="1:32">
      <c r="A15" s="7" t="s">
        <v>12</v>
      </c>
      <c r="B15" s="6">
        <v>164</v>
      </c>
      <c r="C15" s="6">
        <v>164.2</v>
      </c>
      <c r="D15" s="6">
        <v>163.5</v>
      </c>
      <c r="E15" s="6">
        <v>163.9</v>
      </c>
      <c r="F15" s="6">
        <v>168.2</v>
      </c>
      <c r="G15" s="6">
        <v>168.5</v>
      </c>
      <c r="H15" s="6">
        <v>168.3</v>
      </c>
      <c r="I15" s="6">
        <v>168.8</v>
      </c>
      <c r="J15" s="6">
        <v>168.8</v>
      </c>
      <c r="K15" s="6">
        <v>169.3</v>
      </c>
      <c r="L15" s="6">
        <v>169.6</v>
      </c>
      <c r="M15" s="6">
        <v>170.5</v>
      </c>
      <c r="N15" s="6">
        <v>172.1</v>
      </c>
      <c r="O15" s="6">
        <v>174.3</v>
      </c>
      <c r="P15" s="6">
        <v>177.4</v>
      </c>
      <c r="Q15" s="6">
        <v>181.3</v>
      </c>
      <c r="R15" s="6">
        <v>184.9</v>
      </c>
      <c r="S15" s="6">
        <v>187.1</v>
      </c>
      <c r="T15" s="6">
        <v>190</v>
      </c>
      <c r="U15" s="6">
        <v>193.6</v>
      </c>
      <c r="V15" s="6">
        <v>197.3</v>
      </c>
      <c r="W15" s="6">
        <v>199.9</v>
      </c>
      <c r="X15" s="6">
        <v>202.8</v>
      </c>
      <c r="Y15" s="6">
        <v>205.2</v>
      </c>
      <c r="Z15" s="6">
        <v>208.4</v>
      </c>
      <c r="AA15" s="6">
        <v>209.7</v>
      </c>
      <c r="AB15" s="6">
        <v>209.7</v>
      </c>
      <c r="AC15" s="6">
        <v>212.9</v>
      </c>
      <c r="AD15" s="6">
        <v>218</v>
      </c>
      <c r="AE15" s="32">
        <f t="shared" si="0"/>
        <v>0.51227601850256299</v>
      </c>
    </row>
    <row r="16" spans="1:32">
      <c r="A16" s="7" t="s">
        <v>13</v>
      </c>
      <c r="B16" s="6">
        <v>151.80000000000001</v>
      </c>
      <c r="C16" s="6">
        <v>155.5</v>
      </c>
      <c r="D16" s="6">
        <v>156.5</v>
      </c>
      <c r="E16" s="6">
        <v>157.6</v>
      </c>
      <c r="F16" s="6">
        <v>159.30000000000001</v>
      </c>
      <c r="G16" s="6">
        <v>160</v>
      </c>
      <c r="H16" s="6">
        <v>160.9</v>
      </c>
      <c r="I16" s="6">
        <v>162.69999999999999</v>
      </c>
      <c r="J16" s="6">
        <v>162.69999999999999</v>
      </c>
      <c r="K16" s="6">
        <v>163.19999999999999</v>
      </c>
      <c r="L16" s="6">
        <v>163.69999999999999</v>
      </c>
      <c r="M16" s="6">
        <v>164.2</v>
      </c>
      <c r="N16" s="6">
        <v>164.3</v>
      </c>
      <c r="O16" s="6">
        <v>164.7</v>
      </c>
      <c r="P16" s="6">
        <v>165.3</v>
      </c>
      <c r="Q16" s="6">
        <v>166.2</v>
      </c>
      <c r="R16" s="6">
        <v>167.1</v>
      </c>
      <c r="S16" s="6">
        <v>167.9</v>
      </c>
      <c r="T16" s="6">
        <v>168.4</v>
      </c>
      <c r="U16" s="6">
        <v>168.8</v>
      </c>
      <c r="V16" s="6">
        <v>169.4</v>
      </c>
      <c r="W16" s="6">
        <v>169.9</v>
      </c>
      <c r="X16" s="6">
        <v>170.4</v>
      </c>
      <c r="Y16" s="6">
        <v>171</v>
      </c>
      <c r="Z16" s="6">
        <v>171.4</v>
      </c>
      <c r="AA16" s="6">
        <v>172.3</v>
      </c>
      <c r="AB16" s="6">
        <v>172.3</v>
      </c>
      <c r="AC16" s="6">
        <v>172.9</v>
      </c>
      <c r="AD16" s="6">
        <v>173.4</v>
      </c>
      <c r="AE16" s="32">
        <f t="shared" si="0"/>
        <v>0.67563173416540223</v>
      </c>
    </row>
    <row r="17" spans="1:38">
      <c r="A17" s="7" t="s">
        <v>14</v>
      </c>
      <c r="B17" s="6">
        <v>165.6</v>
      </c>
      <c r="C17" s="6">
        <v>167.5</v>
      </c>
      <c r="D17" s="6">
        <v>168.2</v>
      </c>
      <c r="E17" s="6">
        <v>168.9</v>
      </c>
      <c r="F17" s="6">
        <v>170.4</v>
      </c>
      <c r="G17" s="6">
        <v>172.4</v>
      </c>
      <c r="H17" s="6">
        <v>172.2</v>
      </c>
      <c r="I17" s="6">
        <v>173.9</v>
      </c>
      <c r="J17" s="6">
        <v>173.9</v>
      </c>
      <c r="K17" s="6">
        <v>174.7</v>
      </c>
      <c r="L17" s="6">
        <v>175.5</v>
      </c>
      <c r="M17" s="6">
        <v>176.5</v>
      </c>
      <c r="N17" s="6">
        <v>177.3</v>
      </c>
      <c r="O17" s="6">
        <v>178</v>
      </c>
      <c r="P17" s="6">
        <v>179.3</v>
      </c>
      <c r="Q17" s="6">
        <v>180.9</v>
      </c>
      <c r="R17" s="6">
        <v>182.5</v>
      </c>
      <c r="S17" s="6">
        <v>183.9</v>
      </c>
      <c r="T17" s="6">
        <v>185.2</v>
      </c>
      <c r="U17" s="6">
        <v>186.3</v>
      </c>
      <c r="V17" s="6">
        <v>187.4</v>
      </c>
      <c r="W17" s="6">
        <v>188.3</v>
      </c>
      <c r="X17" s="6">
        <v>189.5</v>
      </c>
      <c r="Y17" s="6">
        <v>190.3</v>
      </c>
      <c r="Z17" s="6">
        <v>191.2</v>
      </c>
      <c r="AA17" s="6">
        <v>193</v>
      </c>
      <c r="AB17" s="6">
        <v>193</v>
      </c>
      <c r="AC17" s="6">
        <v>193.5</v>
      </c>
      <c r="AD17" s="6">
        <v>194.2</v>
      </c>
      <c r="AE17" s="32">
        <f t="shared" si="0"/>
        <v>0.63528538231225018</v>
      </c>
    </row>
    <row r="18" spans="1:38">
      <c r="A18" s="7" t="s">
        <v>15</v>
      </c>
      <c r="B18" s="6">
        <v>161</v>
      </c>
      <c r="C18" s="6">
        <v>156.9</v>
      </c>
      <c r="D18" s="6">
        <v>156.69999999999999</v>
      </c>
      <c r="E18" s="6">
        <v>158</v>
      </c>
      <c r="F18" s="6">
        <v>160.69999999999999</v>
      </c>
      <c r="G18" s="6">
        <v>162.6</v>
      </c>
      <c r="H18" s="6">
        <v>164</v>
      </c>
      <c r="I18" s="6">
        <v>164</v>
      </c>
      <c r="J18" s="6">
        <v>164</v>
      </c>
      <c r="K18" s="6">
        <v>167.7</v>
      </c>
      <c r="L18" s="6">
        <v>169.7</v>
      </c>
      <c r="M18" s="6">
        <v>168.2</v>
      </c>
      <c r="N18" s="6">
        <v>166.4</v>
      </c>
      <c r="O18" s="6">
        <v>166.2</v>
      </c>
      <c r="P18" s="6">
        <v>168.4</v>
      </c>
      <c r="Q18" s="6">
        <v>170.8</v>
      </c>
      <c r="R18" s="6">
        <v>173.3</v>
      </c>
      <c r="S18" s="6">
        <v>174.9</v>
      </c>
      <c r="T18" s="6">
        <v>175</v>
      </c>
      <c r="U18" s="6">
        <v>176.3</v>
      </c>
      <c r="V18" s="6">
        <v>177.8</v>
      </c>
      <c r="W18" s="6">
        <v>179.6</v>
      </c>
      <c r="X18" s="6">
        <v>178.3</v>
      </c>
      <c r="Y18" s="6">
        <v>175.9</v>
      </c>
      <c r="Z18" s="6">
        <v>176.7</v>
      </c>
      <c r="AA18" s="6">
        <v>177</v>
      </c>
      <c r="AB18" s="6">
        <v>177</v>
      </c>
      <c r="AC18" s="6">
        <v>177.9</v>
      </c>
      <c r="AD18" s="6">
        <v>179.1</v>
      </c>
      <c r="AE18" s="32">
        <f t="shared" si="0"/>
        <v>0.70967053178100881</v>
      </c>
    </row>
    <row r="19" spans="1:38">
      <c r="A19" s="7" t="s">
        <v>16</v>
      </c>
      <c r="B19" s="6">
        <v>186.5</v>
      </c>
      <c r="C19" s="6">
        <v>188.3</v>
      </c>
      <c r="D19" s="6">
        <v>188.1</v>
      </c>
      <c r="E19" s="6">
        <v>188.8</v>
      </c>
      <c r="F19" s="6">
        <v>191.9</v>
      </c>
      <c r="G19" s="6">
        <v>190.8</v>
      </c>
      <c r="H19" s="6">
        <v>191.2</v>
      </c>
      <c r="I19" s="6">
        <v>192.1</v>
      </c>
      <c r="J19" s="6">
        <v>192.1</v>
      </c>
      <c r="K19" s="6">
        <v>192.7</v>
      </c>
      <c r="L19" s="6">
        <v>192.9</v>
      </c>
      <c r="M19" s="6">
        <v>192.4</v>
      </c>
      <c r="N19" s="6">
        <v>192.2</v>
      </c>
      <c r="O19" s="6">
        <v>192.8</v>
      </c>
      <c r="P19" s="6">
        <v>193.7</v>
      </c>
      <c r="Q19" s="6">
        <v>193.9</v>
      </c>
      <c r="R19" s="6">
        <v>194.1</v>
      </c>
      <c r="S19" s="6">
        <v>194.3</v>
      </c>
      <c r="T19" s="6">
        <v>194.6</v>
      </c>
      <c r="U19" s="6">
        <v>195</v>
      </c>
      <c r="V19" s="6">
        <v>195.9</v>
      </c>
      <c r="W19" s="6">
        <v>196.3</v>
      </c>
      <c r="X19" s="6">
        <v>196.9</v>
      </c>
      <c r="Y19" s="6">
        <v>197.3</v>
      </c>
      <c r="Z19" s="6">
        <v>198.2</v>
      </c>
      <c r="AA19" s="6">
        <v>199.5</v>
      </c>
      <c r="AB19" s="6">
        <v>199.5</v>
      </c>
      <c r="AC19" s="6">
        <v>200.6</v>
      </c>
      <c r="AD19" s="6">
        <v>201</v>
      </c>
      <c r="AE19" s="32">
        <f t="shared" si="0"/>
        <v>0.5322553824571401</v>
      </c>
    </row>
    <row r="20" spans="1:38" ht="15">
      <c r="A20" s="7" t="s">
        <v>17</v>
      </c>
      <c r="B20" s="6">
        <v>155.5</v>
      </c>
      <c r="C20" s="6">
        <v>157.19999999999999</v>
      </c>
      <c r="D20" s="6">
        <v>157.80000000000001</v>
      </c>
      <c r="E20" s="6">
        <v>158.80000000000001</v>
      </c>
      <c r="F20" s="6">
        <v>161.80000000000001</v>
      </c>
      <c r="G20" s="6">
        <v>162.19999999999999</v>
      </c>
      <c r="H20" s="6">
        <v>162.80000000000001</v>
      </c>
      <c r="I20" s="6">
        <v>164.5</v>
      </c>
      <c r="J20" s="6">
        <v>164.6</v>
      </c>
      <c r="K20" s="6">
        <v>165.7</v>
      </c>
      <c r="L20" s="6">
        <v>167.2</v>
      </c>
      <c r="M20" s="6">
        <v>168.5</v>
      </c>
      <c r="N20" s="6">
        <v>169.9</v>
      </c>
      <c r="O20" s="6">
        <v>170.8</v>
      </c>
      <c r="P20" s="6">
        <v>172.1</v>
      </c>
      <c r="Q20" s="6">
        <v>173.9</v>
      </c>
      <c r="R20" s="6">
        <v>175.6</v>
      </c>
      <c r="S20" s="6">
        <v>177.1</v>
      </c>
      <c r="T20" s="6">
        <v>178.3</v>
      </c>
      <c r="U20" s="6">
        <v>179.5</v>
      </c>
      <c r="V20" s="6">
        <v>180.9</v>
      </c>
      <c r="W20" s="6">
        <v>181.9</v>
      </c>
      <c r="X20" s="6">
        <v>183.1</v>
      </c>
      <c r="Y20" s="6">
        <v>184</v>
      </c>
      <c r="Z20" s="6">
        <v>184.9</v>
      </c>
      <c r="AA20" s="6">
        <v>186.2</v>
      </c>
      <c r="AB20" s="6">
        <v>186.1</v>
      </c>
      <c r="AC20" s="6">
        <v>186.9</v>
      </c>
      <c r="AD20" s="6">
        <v>187.3</v>
      </c>
      <c r="AE20" s="32">
        <f t="shared" si="0"/>
        <v>0.66726192821333341</v>
      </c>
      <c r="AH20" s="85" t="s">
        <v>73</v>
      </c>
    </row>
    <row r="21" spans="1:38">
      <c r="A21" s="7" t="s">
        <v>18</v>
      </c>
      <c r="B21" s="6">
        <v>146.1</v>
      </c>
      <c r="C21" s="6">
        <v>147.4</v>
      </c>
      <c r="D21" s="6">
        <v>147.9</v>
      </c>
      <c r="E21" s="6">
        <v>148.5</v>
      </c>
      <c r="F21" s="6">
        <v>152.1</v>
      </c>
      <c r="G21" s="6">
        <v>151.80000000000001</v>
      </c>
      <c r="H21" s="6">
        <v>153.1</v>
      </c>
      <c r="I21" s="6">
        <v>155.30000000000001</v>
      </c>
      <c r="J21" s="6">
        <v>155.30000000000001</v>
      </c>
      <c r="K21" s="6">
        <v>156.30000000000001</v>
      </c>
      <c r="L21" s="6">
        <v>157.4</v>
      </c>
      <c r="M21" s="6">
        <v>158.69999999999999</v>
      </c>
      <c r="N21" s="6">
        <v>160.69999999999999</v>
      </c>
      <c r="O21" s="6">
        <v>162.4</v>
      </c>
      <c r="P21" s="6">
        <v>164.6</v>
      </c>
      <c r="Q21" s="6">
        <v>166.5</v>
      </c>
      <c r="R21" s="6">
        <v>168.4</v>
      </c>
      <c r="S21" s="6">
        <v>169.9</v>
      </c>
      <c r="T21" s="6">
        <v>171.3</v>
      </c>
      <c r="U21" s="6">
        <v>172.7</v>
      </c>
      <c r="V21" s="6">
        <v>174.3</v>
      </c>
      <c r="W21" s="6">
        <v>175.3</v>
      </c>
      <c r="X21" s="6">
        <v>176.2</v>
      </c>
      <c r="Y21" s="6">
        <v>177</v>
      </c>
      <c r="Z21" s="6">
        <v>177.6</v>
      </c>
      <c r="AA21" s="6">
        <v>178.7</v>
      </c>
      <c r="AB21" s="6">
        <v>178.7</v>
      </c>
      <c r="AC21" s="6">
        <v>179.2</v>
      </c>
      <c r="AD21" s="6">
        <v>179.7</v>
      </c>
      <c r="AE21" s="32">
        <f t="shared" si="0"/>
        <v>0.69238471842336602</v>
      </c>
      <c r="AH21" s="20" t="s">
        <v>106</v>
      </c>
      <c r="AI21" s="20"/>
      <c r="AJ21" s="20"/>
      <c r="AK21" s="20"/>
      <c r="AL21" s="20"/>
    </row>
    <row r="22" spans="1:38">
      <c r="A22" s="7" t="s">
        <v>19</v>
      </c>
      <c r="B22" s="6">
        <v>154.19999999999999</v>
      </c>
      <c r="C22" s="6">
        <v>155.80000000000001</v>
      </c>
      <c r="D22" s="6">
        <v>156.4</v>
      </c>
      <c r="E22" s="6">
        <v>157.30000000000001</v>
      </c>
      <c r="F22" s="6">
        <v>160.4</v>
      </c>
      <c r="G22" s="6">
        <v>160.69999999999999</v>
      </c>
      <c r="H22" s="6">
        <v>161.4</v>
      </c>
      <c r="I22" s="6">
        <v>163.19999999999999</v>
      </c>
      <c r="J22" s="6">
        <v>163.30000000000001</v>
      </c>
      <c r="K22" s="6">
        <v>164.3</v>
      </c>
      <c r="L22" s="6">
        <v>165.8</v>
      </c>
      <c r="M22" s="6">
        <v>167</v>
      </c>
      <c r="N22" s="6">
        <v>168.5</v>
      </c>
      <c r="O22" s="6">
        <v>169.6</v>
      </c>
      <c r="P22" s="6">
        <v>171.1</v>
      </c>
      <c r="Q22" s="6">
        <v>172.8</v>
      </c>
      <c r="R22" s="6">
        <v>174.6</v>
      </c>
      <c r="S22" s="6">
        <v>176</v>
      </c>
      <c r="T22" s="6">
        <v>177.3</v>
      </c>
      <c r="U22" s="6">
        <v>178.5</v>
      </c>
      <c r="V22" s="6">
        <v>179.9</v>
      </c>
      <c r="W22" s="6">
        <v>181</v>
      </c>
      <c r="X22" s="6">
        <v>182.1</v>
      </c>
      <c r="Y22" s="6">
        <v>183</v>
      </c>
      <c r="Z22" s="6">
        <v>183.8</v>
      </c>
      <c r="AA22" s="6">
        <v>185.1</v>
      </c>
      <c r="AB22" s="6">
        <v>185.1</v>
      </c>
      <c r="AC22" s="6">
        <v>185.7</v>
      </c>
      <c r="AD22" s="6">
        <v>186.2</v>
      </c>
      <c r="AE22" s="32">
        <f t="shared" si="0"/>
        <v>0.67151996944592118</v>
      </c>
      <c r="AH22" s="60" t="s">
        <v>107</v>
      </c>
      <c r="AI22" s="58"/>
      <c r="AK22" s="58"/>
      <c r="AL22" s="58"/>
    </row>
    <row r="23" spans="1:38">
      <c r="A23" s="7" t="s">
        <v>20</v>
      </c>
      <c r="B23" s="6">
        <v>157.69999999999999</v>
      </c>
      <c r="C23" s="6">
        <v>159.80000000000001</v>
      </c>
      <c r="D23" s="6">
        <v>159.9</v>
      </c>
      <c r="E23" s="6">
        <v>161.4</v>
      </c>
      <c r="F23" s="6">
        <v>161.6</v>
      </c>
      <c r="G23" s="6">
        <v>160.5</v>
      </c>
      <c r="H23" s="6">
        <v>161.5</v>
      </c>
      <c r="I23" s="6">
        <v>162.1</v>
      </c>
      <c r="J23" s="6">
        <v>162.1</v>
      </c>
      <c r="K23" s="6">
        <v>163.6</v>
      </c>
      <c r="L23" s="6">
        <v>164.2</v>
      </c>
      <c r="M23" s="6">
        <v>163.4</v>
      </c>
      <c r="N23" s="6">
        <v>164.5</v>
      </c>
      <c r="O23" s="6">
        <v>165.5</v>
      </c>
      <c r="P23" s="6">
        <v>165.3</v>
      </c>
      <c r="Q23" s="6">
        <v>167</v>
      </c>
      <c r="R23" s="6">
        <v>167.5</v>
      </c>
      <c r="S23" s="6">
        <v>166.8</v>
      </c>
      <c r="T23" s="6">
        <v>167.8</v>
      </c>
      <c r="U23" s="6">
        <v>169</v>
      </c>
      <c r="V23" s="6">
        <v>169.5</v>
      </c>
      <c r="W23" s="6">
        <v>171.2</v>
      </c>
      <c r="X23" s="6">
        <v>171.8</v>
      </c>
      <c r="Y23" s="6">
        <v>170.7</v>
      </c>
      <c r="Z23" s="6">
        <v>172.1</v>
      </c>
      <c r="AA23" s="6">
        <v>173.5</v>
      </c>
      <c r="AB23" s="6">
        <v>173.5</v>
      </c>
      <c r="AC23" s="6">
        <v>175.2</v>
      </c>
      <c r="AD23" s="6">
        <v>175.6</v>
      </c>
      <c r="AE23" s="32">
        <f t="shared" si="0"/>
        <v>0.58260754054158548</v>
      </c>
      <c r="AH23" s="59" t="s">
        <v>108</v>
      </c>
      <c r="AI23" s="59"/>
      <c r="AJ23" s="59"/>
      <c r="AK23" s="59"/>
      <c r="AL23" s="59"/>
    </row>
    <row r="24" spans="1:38">
      <c r="A24" s="7" t="s">
        <v>21</v>
      </c>
      <c r="B24" s="6">
        <v>147.9</v>
      </c>
      <c r="C24" s="6">
        <v>152.4</v>
      </c>
      <c r="D24" s="6">
        <v>155.5</v>
      </c>
      <c r="E24" s="6">
        <v>155.6</v>
      </c>
      <c r="F24" s="6">
        <v>159.4</v>
      </c>
      <c r="G24" s="6">
        <v>159.80000000000001</v>
      </c>
      <c r="H24" s="6">
        <v>160.69999999999999</v>
      </c>
      <c r="I24" s="6">
        <v>162.6</v>
      </c>
      <c r="J24" s="6">
        <v>162.6</v>
      </c>
      <c r="K24" s="6">
        <v>164.2</v>
      </c>
      <c r="L24" s="6">
        <v>163.9</v>
      </c>
      <c r="M24" s="6">
        <v>164.1</v>
      </c>
      <c r="N24" s="6">
        <v>164.2</v>
      </c>
      <c r="O24" s="6">
        <v>165.7</v>
      </c>
      <c r="P24" s="6">
        <v>167.2</v>
      </c>
      <c r="Q24" s="6">
        <v>172.2</v>
      </c>
      <c r="R24" s="6">
        <v>174.6</v>
      </c>
      <c r="S24" s="6">
        <v>176</v>
      </c>
      <c r="T24" s="6">
        <v>179.6</v>
      </c>
      <c r="U24" s="6">
        <v>178.8</v>
      </c>
      <c r="V24" s="6">
        <v>179.5</v>
      </c>
      <c r="W24" s="6">
        <v>180.5</v>
      </c>
      <c r="X24" s="6">
        <v>181.3</v>
      </c>
      <c r="Y24" s="6">
        <v>182</v>
      </c>
      <c r="Z24" s="6">
        <v>182</v>
      </c>
      <c r="AA24" s="6">
        <v>182.1</v>
      </c>
      <c r="AB24" s="6">
        <v>181.9</v>
      </c>
      <c r="AC24" s="6">
        <v>181.7</v>
      </c>
      <c r="AD24" s="6">
        <v>182.8</v>
      </c>
      <c r="AE24" s="32">
        <f t="shared" si="0"/>
        <v>0.71027192860202093</v>
      </c>
      <c r="AH24" s="60" t="s">
        <v>109</v>
      </c>
      <c r="AJ24" s="58"/>
      <c r="AK24" s="58"/>
      <c r="AL24" s="58"/>
    </row>
    <row r="25" spans="1:38">
      <c r="A25" s="7" t="s">
        <v>22</v>
      </c>
      <c r="B25" s="6">
        <v>150</v>
      </c>
      <c r="C25" s="6">
        <v>150.9</v>
      </c>
      <c r="D25" s="6">
        <v>151.19999999999999</v>
      </c>
      <c r="E25" s="6">
        <v>151.80000000000001</v>
      </c>
      <c r="F25" s="6">
        <v>154.69999999999999</v>
      </c>
      <c r="G25" s="6">
        <v>154.80000000000001</v>
      </c>
      <c r="H25" s="6">
        <v>155.80000000000001</v>
      </c>
      <c r="I25" s="6">
        <v>157.5</v>
      </c>
      <c r="J25" s="6">
        <v>157.5</v>
      </c>
      <c r="K25" s="6">
        <v>158.4</v>
      </c>
      <c r="L25" s="6">
        <v>159.30000000000001</v>
      </c>
      <c r="M25" s="6">
        <v>160.19999999999999</v>
      </c>
      <c r="N25" s="6">
        <v>161.1</v>
      </c>
      <c r="O25" s="6">
        <v>161.80000000000001</v>
      </c>
      <c r="P25" s="6">
        <v>162.80000000000001</v>
      </c>
      <c r="Q25" s="6">
        <v>164</v>
      </c>
      <c r="R25" s="6">
        <v>165.2</v>
      </c>
      <c r="S25" s="6">
        <v>166.4</v>
      </c>
      <c r="T25" s="6">
        <v>167.4</v>
      </c>
      <c r="U25" s="6">
        <v>168.5</v>
      </c>
      <c r="V25" s="6">
        <v>169.5</v>
      </c>
      <c r="W25" s="6">
        <v>170.4</v>
      </c>
      <c r="X25" s="6">
        <v>171.4</v>
      </c>
      <c r="Y25" s="6">
        <v>172.1</v>
      </c>
      <c r="Z25" s="6">
        <v>172.9</v>
      </c>
      <c r="AA25" s="6">
        <v>174.2</v>
      </c>
      <c r="AB25" s="6">
        <v>174.2</v>
      </c>
      <c r="AC25" s="6">
        <v>174.6</v>
      </c>
      <c r="AD25" s="6">
        <v>175.2</v>
      </c>
      <c r="AE25" s="32">
        <f t="shared" si="0"/>
        <v>0.6542215219876566</v>
      </c>
    </row>
    <row r="26" spans="1:38">
      <c r="A26" s="7" t="s">
        <v>23</v>
      </c>
      <c r="B26" s="6">
        <v>159.30000000000001</v>
      </c>
      <c r="C26" s="6">
        <v>161.30000000000001</v>
      </c>
      <c r="D26" s="6">
        <v>161.69999999999999</v>
      </c>
      <c r="E26" s="6">
        <v>162.30000000000001</v>
      </c>
      <c r="F26" s="6">
        <v>165.8</v>
      </c>
      <c r="G26" s="6">
        <v>166.3</v>
      </c>
      <c r="H26" s="6">
        <v>167</v>
      </c>
      <c r="I26" s="6">
        <v>168.4</v>
      </c>
      <c r="J26" s="6">
        <v>168.4</v>
      </c>
      <c r="K26" s="6">
        <v>169.1</v>
      </c>
      <c r="L26" s="6">
        <v>169.9</v>
      </c>
      <c r="M26" s="6">
        <v>170.6</v>
      </c>
      <c r="N26" s="6">
        <v>171.4</v>
      </c>
      <c r="O26" s="6">
        <v>172.2</v>
      </c>
      <c r="P26" s="6">
        <v>173</v>
      </c>
      <c r="Q26" s="6">
        <v>174</v>
      </c>
      <c r="R26" s="6">
        <v>174.8</v>
      </c>
      <c r="S26" s="6">
        <v>175.4</v>
      </c>
      <c r="T26" s="6">
        <v>176.1</v>
      </c>
      <c r="U26" s="6">
        <v>176.8</v>
      </c>
      <c r="V26" s="6">
        <v>177.8</v>
      </c>
      <c r="W26" s="6">
        <v>178.7</v>
      </c>
      <c r="X26" s="6">
        <v>179.8</v>
      </c>
      <c r="Y26" s="6">
        <v>181.1</v>
      </c>
      <c r="Z26" s="6">
        <v>182.3</v>
      </c>
      <c r="AA26" s="6">
        <v>184.4</v>
      </c>
      <c r="AB26" s="6">
        <v>184.4</v>
      </c>
      <c r="AC26" s="6">
        <v>185</v>
      </c>
      <c r="AD26" s="6">
        <v>185.7</v>
      </c>
      <c r="AE26" s="32">
        <f t="shared" si="0"/>
        <v>0.6183374191219887</v>
      </c>
    </row>
    <row r="27" spans="1:38">
      <c r="A27" s="7" t="s">
        <v>24</v>
      </c>
      <c r="B27" s="6">
        <v>141.9</v>
      </c>
      <c r="C27" s="6">
        <v>145.1</v>
      </c>
      <c r="D27" s="6">
        <v>146.19999999999999</v>
      </c>
      <c r="E27" s="6">
        <v>146.6</v>
      </c>
      <c r="F27" s="6">
        <v>148.9</v>
      </c>
      <c r="G27" s="6">
        <v>150.69999999999999</v>
      </c>
      <c r="H27" s="6">
        <v>153.1</v>
      </c>
      <c r="I27" s="6">
        <v>154</v>
      </c>
      <c r="J27" s="6">
        <v>154</v>
      </c>
      <c r="K27" s="6">
        <v>155.69999999999999</v>
      </c>
      <c r="L27" s="6">
        <v>154.80000000000001</v>
      </c>
      <c r="M27" s="6">
        <v>155.69999999999999</v>
      </c>
      <c r="N27" s="6">
        <v>156.5</v>
      </c>
      <c r="O27" s="6">
        <v>156.9</v>
      </c>
      <c r="P27" s="6">
        <v>157.9</v>
      </c>
      <c r="Q27" s="6">
        <v>162.6</v>
      </c>
      <c r="R27" s="6">
        <v>163</v>
      </c>
      <c r="S27" s="6">
        <v>161.1</v>
      </c>
      <c r="T27" s="6">
        <v>161.6</v>
      </c>
      <c r="U27" s="6">
        <v>161.9</v>
      </c>
      <c r="V27" s="6">
        <v>162.30000000000001</v>
      </c>
      <c r="W27" s="6">
        <v>162.9</v>
      </c>
      <c r="X27" s="6">
        <v>163</v>
      </c>
      <c r="Y27" s="6">
        <v>163.4</v>
      </c>
      <c r="Z27" s="6">
        <v>163.6</v>
      </c>
      <c r="AA27" s="6">
        <v>164.2</v>
      </c>
      <c r="AB27" s="6">
        <v>164.2</v>
      </c>
      <c r="AC27" s="6">
        <v>164.5</v>
      </c>
      <c r="AD27" s="6">
        <v>164.8</v>
      </c>
      <c r="AE27" s="32">
        <f t="shared" si="0"/>
        <v>0.77857772043702822</v>
      </c>
    </row>
    <row r="28" spans="1:38">
      <c r="A28" s="7" t="s">
        <v>25</v>
      </c>
      <c r="B28" s="6">
        <v>149.6</v>
      </c>
      <c r="C28" s="6">
        <v>151.5</v>
      </c>
      <c r="D28" s="6">
        <v>152.6</v>
      </c>
      <c r="E28" s="6">
        <v>153.19999999999999</v>
      </c>
      <c r="F28" s="6">
        <v>155.80000000000001</v>
      </c>
      <c r="G28" s="6">
        <v>154.9</v>
      </c>
      <c r="H28" s="6">
        <v>155.30000000000001</v>
      </c>
      <c r="I28" s="6">
        <v>157.6</v>
      </c>
      <c r="J28" s="6">
        <v>157.69999999999999</v>
      </c>
      <c r="K28" s="6">
        <v>158.6</v>
      </c>
      <c r="L28" s="6">
        <v>159.80000000000001</v>
      </c>
      <c r="M28" s="6">
        <v>160.6</v>
      </c>
      <c r="N28" s="6">
        <v>161.19999999999999</v>
      </c>
      <c r="O28" s="6">
        <v>162.1</v>
      </c>
      <c r="P28" s="6">
        <v>163.30000000000001</v>
      </c>
      <c r="Q28" s="6">
        <v>164.4</v>
      </c>
      <c r="R28" s="6">
        <v>165.1</v>
      </c>
      <c r="S28" s="6">
        <v>165.8</v>
      </c>
      <c r="T28" s="6">
        <v>166.3</v>
      </c>
      <c r="U28" s="6">
        <v>166.9</v>
      </c>
      <c r="V28" s="6">
        <v>167.6</v>
      </c>
      <c r="W28" s="6">
        <v>168.2</v>
      </c>
      <c r="X28" s="6">
        <v>168.5</v>
      </c>
      <c r="Y28" s="6">
        <v>168.9</v>
      </c>
      <c r="Z28" s="6">
        <v>169.5</v>
      </c>
      <c r="AA28" s="6">
        <v>170.3</v>
      </c>
      <c r="AB28" s="6">
        <v>170.3</v>
      </c>
      <c r="AC28" s="6">
        <v>170.7</v>
      </c>
      <c r="AD28" s="6">
        <v>171.2</v>
      </c>
      <c r="AE28" s="32">
        <f t="shared" si="0"/>
        <v>0.72403484176045285</v>
      </c>
    </row>
    <row r="29" spans="1:38">
      <c r="A29" s="7" t="s">
        <v>26</v>
      </c>
      <c r="B29" s="6">
        <v>159.19999999999999</v>
      </c>
      <c r="C29" s="6">
        <v>159.5</v>
      </c>
      <c r="D29" s="6">
        <v>160.19999999999999</v>
      </c>
      <c r="E29" s="6">
        <v>160.30000000000001</v>
      </c>
      <c r="F29" s="6">
        <v>161.19999999999999</v>
      </c>
      <c r="G29" s="6">
        <v>161.69999999999999</v>
      </c>
      <c r="H29" s="6">
        <v>163.19999999999999</v>
      </c>
      <c r="I29" s="6">
        <v>163.80000000000001</v>
      </c>
      <c r="J29" s="6">
        <v>163.69999999999999</v>
      </c>
      <c r="K29" s="6">
        <v>163.9</v>
      </c>
      <c r="L29" s="6">
        <v>164.3</v>
      </c>
      <c r="M29" s="6">
        <v>164.4</v>
      </c>
      <c r="N29" s="6">
        <v>164.7</v>
      </c>
      <c r="O29" s="6">
        <v>165.4</v>
      </c>
      <c r="P29" s="6">
        <v>166</v>
      </c>
      <c r="Q29" s="6">
        <v>166.9</v>
      </c>
      <c r="R29" s="6">
        <v>167.9</v>
      </c>
      <c r="S29" s="6">
        <v>169</v>
      </c>
      <c r="T29" s="6">
        <v>171.4</v>
      </c>
      <c r="U29" s="6">
        <v>172.3</v>
      </c>
      <c r="V29" s="6">
        <v>173.1</v>
      </c>
      <c r="W29" s="6">
        <v>173.4</v>
      </c>
      <c r="X29" s="6">
        <v>173.7</v>
      </c>
      <c r="Y29" s="6">
        <v>174.1</v>
      </c>
      <c r="Z29" s="6">
        <v>174.3</v>
      </c>
      <c r="AA29" s="6">
        <v>175</v>
      </c>
      <c r="AB29" s="6">
        <v>175</v>
      </c>
      <c r="AC29" s="6">
        <v>176.4</v>
      </c>
      <c r="AD29" s="6">
        <v>177.1</v>
      </c>
      <c r="AE29" s="32">
        <f t="shared" si="0"/>
        <v>0.59613394654076424</v>
      </c>
    </row>
    <row r="30" spans="1:38" ht="15">
      <c r="A30" s="7" t="s">
        <v>27</v>
      </c>
      <c r="B30" s="6">
        <v>156.80000000000001</v>
      </c>
      <c r="C30" s="6">
        <v>155.80000000000001</v>
      </c>
      <c r="D30" s="6">
        <v>153.80000000000001</v>
      </c>
      <c r="E30" s="6">
        <v>155.4</v>
      </c>
      <c r="F30" s="6">
        <v>158.6</v>
      </c>
      <c r="G30" s="6">
        <v>158.80000000000001</v>
      </c>
      <c r="H30" s="6">
        <v>160.1</v>
      </c>
      <c r="I30" s="6">
        <v>160</v>
      </c>
      <c r="J30" s="6">
        <v>160</v>
      </c>
      <c r="K30" s="6">
        <v>160.80000000000001</v>
      </c>
      <c r="L30" s="6">
        <v>162.19999999999999</v>
      </c>
      <c r="M30" s="6">
        <v>162.6</v>
      </c>
      <c r="N30" s="6">
        <v>163</v>
      </c>
      <c r="O30" s="6">
        <v>164.4</v>
      </c>
      <c r="P30" s="6">
        <v>167.2</v>
      </c>
      <c r="Q30" s="6">
        <v>168.8</v>
      </c>
      <c r="R30" s="6">
        <v>168.4</v>
      </c>
      <c r="S30" s="6">
        <v>169.4</v>
      </c>
      <c r="T30" s="6">
        <v>169.7</v>
      </c>
      <c r="U30" s="6">
        <v>171.2</v>
      </c>
      <c r="V30" s="6">
        <v>170.9</v>
      </c>
      <c r="W30" s="6">
        <v>172.1</v>
      </c>
      <c r="X30" s="6">
        <v>173.6</v>
      </c>
      <c r="Y30" s="6">
        <v>175.8</v>
      </c>
      <c r="Z30" s="6">
        <v>178.6</v>
      </c>
      <c r="AA30" s="6">
        <v>181</v>
      </c>
      <c r="AB30" s="6">
        <v>181</v>
      </c>
      <c r="AC30" s="6">
        <v>184</v>
      </c>
      <c r="AD30" s="6">
        <v>185.2</v>
      </c>
      <c r="AE30" s="32">
        <f t="shared" si="0"/>
        <v>0.55910184666469454</v>
      </c>
      <c r="AH30" s="82" t="s">
        <v>110</v>
      </c>
    </row>
    <row r="31" spans="1:38" ht="27.75" customHeight="1">
      <c r="A31" s="7" t="s">
        <v>28</v>
      </c>
      <c r="B31" s="6">
        <v>151.9</v>
      </c>
      <c r="C31" s="6">
        <v>153.4</v>
      </c>
      <c r="D31" s="6">
        <v>153.80000000000001</v>
      </c>
      <c r="E31" s="6">
        <v>154.4</v>
      </c>
      <c r="F31" s="6">
        <v>156.80000000000001</v>
      </c>
      <c r="G31" s="6">
        <v>157.6</v>
      </c>
      <c r="H31" s="6">
        <v>159</v>
      </c>
      <c r="I31" s="6">
        <v>160</v>
      </c>
      <c r="J31" s="6">
        <v>160</v>
      </c>
      <c r="K31" s="6">
        <v>161</v>
      </c>
      <c r="L31" s="6">
        <v>161.4</v>
      </c>
      <c r="M31" s="6">
        <v>162</v>
      </c>
      <c r="N31" s="6">
        <v>162.69999999999999</v>
      </c>
      <c r="O31" s="6">
        <v>163.5</v>
      </c>
      <c r="P31" s="6">
        <v>164.6</v>
      </c>
      <c r="Q31" s="6">
        <v>166.8</v>
      </c>
      <c r="R31" s="6">
        <v>167.5</v>
      </c>
      <c r="S31" s="6">
        <v>167.5</v>
      </c>
      <c r="T31" s="6">
        <v>168.4</v>
      </c>
      <c r="U31" s="6">
        <v>169.1</v>
      </c>
      <c r="V31" s="6">
        <v>169.7</v>
      </c>
      <c r="W31" s="6">
        <v>170.5</v>
      </c>
      <c r="X31" s="6">
        <v>171.1</v>
      </c>
      <c r="Y31" s="6">
        <v>172</v>
      </c>
      <c r="Z31" s="6">
        <v>172.8</v>
      </c>
      <c r="AA31" s="6">
        <v>174.1</v>
      </c>
      <c r="AB31" s="6">
        <v>174.1</v>
      </c>
      <c r="AC31" s="6">
        <v>175</v>
      </c>
      <c r="AD31" s="6">
        <v>175.7</v>
      </c>
      <c r="AE31" s="32">
        <f t="shared" si="0"/>
        <v>0.67548161234849602</v>
      </c>
      <c r="AH31" s="83" t="s">
        <v>111</v>
      </c>
      <c r="AI31" s="64" t="s">
        <v>112</v>
      </c>
    </row>
    <row r="32" spans="1:38" ht="30.75">
      <c r="A32" s="8" t="s">
        <v>29</v>
      </c>
      <c r="B32" s="6">
        <v>157.30000000000001</v>
      </c>
      <c r="C32" s="6">
        <v>156.6</v>
      </c>
      <c r="D32" s="6">
        <v>156.80000000000001</v>
      </c>
      <c r="E32" s="6">
        <v>157.80000000000001</v>
      </c>
      <c r="F32" s="6">
        <v>160.4</v>
      </c>
      <c r="G32" s="6">
        <v>161.30000000000001</v>
      </c>
      <c r="H32" s="6">
        <v>162.5</v>
      </c>
      <c r="I32" s="6">
        <v>163.19999999999999</v>
      </c>
      <c r="J32" s="6">
        <v>163.19999999999999</v>
      </c>
      <c r="K32" s="6">
        <v>165.5</v>
      </c>
      <c r="L32" s="6">
        <v>166.7</v>
      </c>
      <c r="M32" s="6">
        <v>166.2</v>
      </c>
      <c r="N32" s="6">
        <v>165.7</v>
      </c>
      <c r="O32" s="6">
        <v>166.1</v>
      </c>
      <c r="P32" s="6">
        <v>167.7</v>
      </c>
      <c r="Q32" s="6">
        <v>170.1</v>
      </c>
      <c r="R32" s="6">
        <v>171.7</v>
      </c>
      <c r="S32" s="6">
        <v>172.6</v>
      </c>
      <c r="T32" s="6">
        <v>173.4</v>
      </c>
      <c r="U32" s="6">
        <v>174.3</v>
      </c>
      <c r="V32" s="6">
        <v>175.3</v>
      </c>
      <c r="W32" s="6">
        <v>176.7</v>
      </c>
      <c r="X32" s="6">
        <v>176.5</v>
      </c>
      <c r="Y32" s="6">
        <v>175.7</v>
      </c>
      <c r="Z32" s="6">
        <v>176.5</v>
      </c>
      <c r="AA32" s="6">
        <v>177.2</v>
      </c>
      <c r="AB32" s="6">
        <v>177.2</v>
      </c>
      <c r="AC32" s="6">
        <v>178.1</v>
      </c>
      <c r="AD32" s="6">
        <v>179.1</v>
      </c>
      <c r="AE32" s="32">
        <f t="shared" si="0"/>
        <v>0.6951709600352336</v>
      </c>
      <c r="AI32" s="64" t="s">
        <v>113</v>
      </c>
    </row>
    <row r="33" spans="1:35" ht="30.75">
      <c r="A33" s="8" t="s">
        <v>60</v>
      </c>
      <c r="B33" s="6">
        <f t="shared" ref="B33:AD33" si="1">B18+B17+B16+B15+B14+B13+B12+B11+B10+B9+B8+B7+B6</f>
        <v>2076.5</v>
      </c>
      <c r="C33" s="6">
        <f t="shared" si="1"/>
        <v>2039.3</v>
      </c>
      <c r="D33" s="6">
        <f t="shared" si="1"/>
        <v>2039.4</v>
      </c>
      <c r="E33" s="6">
        <f t="shared" si="1"/>
        <v>2064.1</v>
      </c>
      <c r="F33" s="6">
        <f t="shared" si="1"/>
        <v>2105.6999999999998</v>
      </c>
      <c r="G33" s="6">
        <f t="shared" si="1"/>
        <v>2133.9</v>
      </c>
      <c r="H33" s="6">
        <f t="shared" si="1"/>
        <v>2147</v>
      </c>
      <c r="I33" s="6">
        <f t="shared" si="1"/>
        <v>2142</v>
      </c>
      <c r="J33" s="6">
        <f t="shared" si="1"/>
        <v>2142</v>
      </c>
      <c r="K33" s="6">
        <f t="shared" si="1"/>
        <v>2175.5</v>
      </c>
      <c r="L33" s="6">
        <f t="shared" si="1"/>
        <v>2194.1</v>
      </c>
      <c r="M33" s="6">
        <f t="shared" si="1"/>
        <v>2180.9</v>
      </c>
      <c r="N33" s="6">
        <f t="shared" si="1"/>
        <v>2164.1999999999998</v>
      </c>
      <c r="O33" s="6">
        <f t="shared" si="1"/>
        <v>2161.1999999999998</v>
      </c>
      <c r="P33" s="6">
        <f t="shared" si="1"/>
        <v>2184.1999999999998</v>
      </c>
      <c r="Q33" s="6">
        <f t="shared" si="1"/>
        <v>2214.3000000000002</v>
      </c>
      <c r="R33" s="6">
        <f t="shared" si="1"/>
        <v>2238.9</v>
      </c>
      <c r="S33" s="6">
        <f t="shared" si="1"/>
        <v>2261.9</v>
      </c>
      <c r="T33" s="6">
        <f t="shared" si="1"/>
        <v>2266.3000000000002</v>
      </c>
      <c r="U33" s="6">
        <f t="shared" si="1"/>
        <v>2269.2000000000007</v>
      </c>
      <c r="V33" s="6">
        <f t="shared" si="1"/>
        <v>2280.9</v>
      </c>
      <c r="W33" s="6">
        <f t="shared" si="1"/>
        <v>2297.2999999999997</v>
      </c>
      <c r="X33" s="6">
        <f t="shared" si="1"/>
        <v>2296.8000000000002</v>
      </c>
      <c r="Y33" s="6">
        <f t="shared" si="1"/>
        <v>2283.3999999999996</v>
      </c>
      <c r="Z33" s="6">
        <f t="shared" si="1"/>
        <v>2292.7000000000003</v>
      </c>
      <c r="AA33" s="6">
        <f t="shared" si="1"/>
        <v>2279.1</v>
      </c>
      <c r="AB33" s="6">
        <f t="shared" si="1"/>
        <v>2279.1999999999998</v>
      </c>
      <c r="AC33" s="6">
        <f t="shared" si="1"/>
        <v>2289.6000000000004</v>
      </c>
      <c r="AD33" s="6">
        <f t="shared" si="1"/>
        <v>2306.9</v>
      </c>
      <c r="AE33" s="32">
        <f t="shared" si="0"/>
        <v>0.71355462060873698</v>
      </c>
      <c r="AI33" s="64" t="s">
        <v>114</v>
      </c>
    </row>
    <row r="34" spans="1:35" ht="33" customHeight="1">
      <c r="A34" s="8" t="s">
        <v>49</v>
      </c>
      <c r="B34" s="6">
        <f t="shared" ref="B34:AD34" si="2">SUM(B20:B22)</f>
        <v>455.8</v>
      </c>
      <c r="C34" s="6">
        <f t="shared" si="2"/>
        <v>460.40000000000003</v>
      </c>
      <c r="D34" s="6">
        <f t="shared" si="2"/>
        <v>462.1</v>
      </c>
      <c r="E34" s="6">
        <f t="shared" si="2"/>
        <v>464.6</v>
      </c>
      <c r="F34" s="6">
        <f t="shared" si="2"/>
        <v>474.29999999999995</v>
      </c>
      <c r="G34" s="6">
        <f t="shared" si="2"/>
        <v>474.7</v>
      </c>
      <c r="H34" s="6">
        <f t="shared" si="2"/>
        <v>477.29999999999995</v>
      </c>
      <c r="I34" s="6">
        <f t="shared" si="2"/>
        <v>483</v>
      </c>
      <c r="J34" s="6">
        <f t="shared" si="2"/>
        <v>483.2</v>
      </c>
      <c r="K34" s="6">
        <f t="shared" si="2"/>
        <v>486.3</v>
      </c>
      <c r="L34" s="6">
        <f t="shared" si="2"/>
        <v>490.40000000000003</v>
      </c>
      <c r="M34" s="6">
        <f t="shared" si="2"/>
        <v>494.2</v>
      </c>
      <c r="N34" s="6">
        <f t="shared" si="2"/>
        <v>499.1</v>
      </c>
      <c r="O34" s="6">
        <f t="shared" si="2"/>
        <v>502.80000000000007</v>
      </c>
      <c r="P34" s="6">
        <f t="shared" si="2"/>
        <v>507.79999999999995</v>
      </c>
      <c r="Q34" s="6">
        <f t="shared" si="2"/>
        <v>513.20000000000005</v>
      </c>
      <c r="R34" s="6">
        <f t="shared" si="2"/>
        <v>518.6</v>
      </c>
      <c r="S34" s="6">
        <f t="shared" si="2"/>
        <v>523</v>
      </c>
      <c r="T34" s="6">
        <f t="shared" si="2"/>
        <v>526.90000000000009</v>
      </c>
      <c r="U34" s="6">
        <f t="shared" si="2"/>
        <v>530.70000000000005</v>
      </c>
      <c r="V34" s="6">
        <f t="shared" si="2"/>
        <v>535.1</v>
      </c>
      <c r="W34" s="6">
        <f t="shared" si="2"/>
        <v>538.20000000000005</v>
      </c>
      <c r="X34" s="6">
        <f t="shared" si="2"/>
        <v>541.4</v>
      </c>
      <c r="Y34" s="6">
        <f t="shared" si="2"/>
        <v>544</v>
      </c>
      <c r="Z34" s="6">
        <f t="shared" si="2"/>
        <v>546.29999999999995</v>
      </c>
      <c r="AA34" s="6">
        <f t="shared" si="2"/>
        <v>550</v>
      </c>
      <c r="AB34" s="6">
        <f t="shared" si="2"/>
        <v>549.9</v>
      </c>
      <c r="AC34" s="6">
        <f t="shared" si="2"/>
        <v>551.79999999999995</v>
      </c>
      <c r="AD34" s="6">
        <f t="shared" si="2"/>
        <v>553.20000000000005</v>
      </c>
      <c r="AE34" s="32">
        <f t="shared" si="0"/>
        <v>0.67778613541721977</v>
      </c>
      <c r="AH34" s="64" t="s">
        <v>115</v>
      </c>
      <c r="AI34" s="84" t="s">
        <v>116</v>
      </c>
    </row>
    <row r="35" spans="1:35">
      <c r="A35" s="8" t="s">
        <v>50</v>
      </c>
      <c r="B35" s="6">
        <f t="shared" ref="B35:AD35" si="3">SUM(B27,B29,B28)</f>
        <v>450.70000000000005</v>
      </c>
      <c r="C35" s="6">
        <f t="shared" si="3"/>
        <v>456.1</v>
      </c>
      <c r="D35" s="6">
        <f t="shared" si="3"/>
        <v>459</v>
      </c>
      <c r="E35" s="6">
        <f t="shared" si="3"/>
        <v>460.09999999999997</v>
      </c>
      <c r="F35" s="6">
        <f t="shared" si="3"/>
        <v>465.90000000000003</v>
      </c>
      <c r="G35" s="6">
        <f t="shared" si="3"/>
        <v>467.29999999999995</v>
      </c>
      <c r="H35" s="6">
        <f t="shared" si="3"/>
        <v>471.59999999999997</v>
      </c>
      <c r="I35" s="6">
        <f t="shared" si="3"/>
        <v>475.4</v>
      </c>
      <c r="J35" s="6">
        <f t="shared" si="3"/>
        <v>475.4</v>
      </c>
      <c r="K35" s="6">
        <f t="shared" si="3"/>
        <v>478.20000000000005</v>
      </c>
      <c r="L35" s="6">
        <f t="shared" si="3"/>
        <v>478.90000000000003</v>
      </c>
      <c r="M35" s="6">
        <f t="shared" si="3"/>
        <v>480.70000000000005</v>
      </c>
      <c r="N35" s="6">
        <f t="shared" si="3"/>
        <v>482.4</v>
      </c>
      <c r="O35" s="6">
        <f t="shared" si="3"/>
        <v>484.4</v>
      </c>
      <c r="P35" s="6">
        <f t="shared" si="3"/>
        <v>487.2</v>
      </c>
      <c r="Q35" s="6">
        <f t="shared" si="3"/>
        <v>493.9</v>
      </c>
      <c r="R35" s="6">
        <f t="shared" si="3"/>
        <v>496</v>
      </c>
      <c r="S35" s="6">
        <f t="shared" si="3"/>
        <v>495.90000000000003</v>
      </c>
      <c r="T35" s="6">
        <f t="shared" si="3"/>
        <v>499.3</v>
      </c>
      <c r="U35" s="6">
        <f t="shared" si="3"/>
        <v>501.1</v>
      </c>
      <c r="V35" s="6">
        <f t="shared" si="3"/>
        <v>503</v>
      </c>
      <c r="W35" s="6">
        <f t="shared" si="3"/>
        <v>504.5</v>
      </c>
      <c r="X35" s="6">
        <f t="shared" si="3"/>
        <v>505.2</v>
      </c>
      <c r="Y35" s="6">
        <f t="shared" si="3"/>
        <v>506.4</v>
      </c>
      <c r="Z35" s="6">
        <f t="shared" si="3"/>
        <v>507.4</v>
      </c>
      <c r="AA35" s="6">
        <f t="shared" si="3"/>
        <v>509.5</v>
      </c>
      <c r="AB35" s="6">
        <f t="shared" si="3"/>
        <v>509.5</v>
      </c>
      <c r="AC35" s="6">
        <f t="shared" si="3"/>
        <v>511.59999999999997</v>
      </c>
      <c r="AD35" s="6">
        <f t="shared" si="3"/>
        <v>513.09999999999991</v>
      </c>
      <c r="AE35" s="32">
        <f t="shared" si="0"/>
        <v>0.71503701919175822</v>
      </c>
    </row>
    <row r="36" spans="1:35" ht="37.5" customHeight="1">
      <c r="A36" s="8" t="s">
        <v>51</v>
      </c>
      <c r="B36" s="6">
        <f t="shared" ref="B36:AD36" si="4">SUM(B26,B30)</f>
        <v>316.10000000000002</v>
      </c>
      <c r="C36" s="6">
        <f t="shared" si="4"/>
        <v>317.10000000000002</v>
      </c>
      <c r="D36" s="6">
        <f t="shared" si="4"/>
        <v>315.5</v>
      </c>
      <c r="E36" s="6">
        <f t="shared" si="4"/>
        <v>317.70000000000005</v>
      </c>
      <c r="F36" s="6">
        <f t="shared" si="4"/>
        <v>324.39999999999998</v>
      </c>
      <c r="G36" s="6">
        <f t="shared" si="4"/>
        <v>325.10000000000002</v>
      </c>
      <c r="H36" s="6">
        <f t="shared" si="4"/>
        <v>327.10000000000002</v>
      </c>
      <c r="I36" s="6">
        <f t="shared" si="4"/>
        <v>328.4</v>
      </c>
      <c r="J36" s="6">
        <f t="shared" si="4"/>
        <v>328.4</v>
      </c>
      <c r="K36" s="6">
        <f t="shared" si="4"/>
        <v>329.9</v>
      </c>
      <c r="L36" s="6">
        <f t="shared" si="4"/>
        <v>332.1</v>
      </c>
      <c r="M36" s="6">
        <f t="shared" si="4"/>
        <v>333.2</v>
      </c>
      <c r="N36" s="6">
        <f t="shared" si="4"/>
        <v>334.4</v>
      </c>
      <c r="O36" s="6">
        <f t="shared" si="4"/>
        <v>336.6</v>
      </c>
      <c r="P36" s="6">
        <f t="shared" si="4"/>
        <v>340.2</v>
      </c>
      <c r="Q36" s="6">
        <f t="shared" si="4"/>
        <v>342.8</v>
      </c>
      <c r="R36" s="6">
        <f t="shared" si="4"/>
        <v>343.20000000000005</v>
      </c>
      <c r="S36" s="6">
        <f t="shared" si="4"/>
        <v>344.8</v>
      </c>
      <c r="T36" s="6">
        <f t="shared" si="4"/>
        <v>345.79999999999995</v>
      </c>
      <c r="U36" s="6">
        <f t="shared" si="4"/>
        <v>348</v>
      </c>
      <c r="V36" s="6">
        <f t="shared" si="4"/>
        <v>348.70000000000005</v>
      </c>
      <c r="W36" s="6">
        <f t="shared" si="4"/>
        <v>350.79999999999995</v>
      </c>
      <c r="X36" s="6">
        <f t="shared" si="4"/>
        <v>353.4</v>
      </c>
      <c r="Y36" s="6">
        <f t="shared" si="4"/>
        <v>356.9</v>
      </c>
      <c r="Z36" s="6">
        <f t="shared" si="4"/>
        <v>360.9</v>
      </c>
      <c r="AA36" s="6">
        <f t="shared" si="4"/>
        <v>365.4</v>
      </c>
      <c r="AB36" s="6">
        <f t="shared" si="4"/>
        <v>365.4</v>
      </c>
      <c r="AC36" s="6">
        <f t="shared" si="4"/>
        <v>369</v>
      </c>
      <c r="AD36" s="6">
        <f t="shared" si="4"/>
        <v>370.9</v>
      </c>
      <c r="AE36" s="32">
        <f t="shared" si="0"/>
        <v>0.58923703893981549</v>
      </c>
      <c r="AH36" s="64" t="s">
        <v>117</v>
      </c>
      <c r="AI36" s="64" t="s">
        <v>118</v>
      </c>
    </row>
    <row r="37" spans="1:35">
      <c r="A37" s="8" t="s">
        <v>52</v>
      </c>
      <c r="B37" s="6">
        <f t="shared" ref="B37:AD37" si="5">SUM(B23,B24,B25)</f>
        <v>455.6</v>
      </c>
      <c r="C37" s="6">
        <f t="shared" si="5"/>
        <v>463.1</v>
      </c>
      <c r="D37" s="6">
        <f t="shared" si="5"/>
        <v>466.59999999999997</v>
      </c>
      <c r="E37" s="6">
        <f t="shared" si="5"/>
        <v>468.8</v>
      </c>
      <c r="F37" s="6">
        <f t="shared" si="5"/>
        <v>475.7</v>
      </c>
      <c r="G37" s="6">
        <f t="shared" si="5"/>
        <v>475.1</v>
      </c>
      <c r="H37" s="6">
        <f t="shared" si="5"/>
        <v>478</v>
      </c>
      <c r="I37" s="6">
        <f t="shared" si="5"/>
        <v>482.2</v>
      </c>
      <c r="J37" s="6">
        <f t="shared" si="5"/>
        <v>482.2</v>
      </c>
      <c r="K37" s="6">
        <f t="shared" si="5"/>
        <v>486.19999999999993</v>
      </c>
      <c r="L37" s="6">
        <f t="shared" si="5"/>
        <v>487.40000000000003</v>
      </c>
      <c r="M37" s="6">
        <f t="shared" si="5"/>
        <v>487.7</v>
      </c>
      <c r="N37" s="6">
        <f t="shared" si="5"/>
        <v>489.79999999999995</v>
      </c>
      <c r="O37" s="6">
        <f t="shared" si="5"/>
        <v>493</v>
      </c>
      <c r="P37" s="6">
        <f t="shared" si="5"/>
        <v>495.3</v>
      </c>
      <c r="Q37" s="6">
        <f t="shared" si="5"/>
        <v>503.2</v>
      </c>
      <c r="R37" s="6">
        <f t="shared" si="5"/>
        <v>507.3</v>
      </c>
      <c r="S37" s="6">
        <f t="shared" si="5"/>
        <v>509.20000000000005</v>
      </c>
      <c r="T37" s="6">
        <f t="shared" si="5"/>
        <v>514.79999999999995</v>
      </c>
      <c r="U37" s="6">
        <f t="shared" si="5"/>
        <v>516.29999999999995</v>
      </c>
      <c r="V37" s="6">
        <f t="shared" si="5"/>
        <v>518.5</v>
      </c>
      <c r="W37" s="6">
        <f t="shared" si="5"/>
        <v>522.1</v>
      </c>
      <c r="X37" s="6">
        <f t="shared" si="5"/>
        <v>524.5</v>
      </c>
      <c r="Y37" s="6">
        <f t="shared" si="5"/>
        <v>524.79999999999995</v>
      </c>
      <c r="Z37" s="6">
        <f t="shared" si="5"/>
        <v>527</v>
      </c>
      <c r="AA37" s="6">
        <f t="shared" si="5"/>
        <v>529.79999999999995</v>
      </c>
      <c r="AB37" s="6">
        <f t="shared" si="5"/>
        <v>529.59999999999991</v>
      </c>
      <c r="AC37" s="6">
        <f t="shared" si="5"/>
        <v>531.5</v>
      </c>
      <c r="AD37" s="6">
        <f t="shared" si="5"/>
        <v>533.59999999999991</v>
      </c>
      <c r="AE37" s="32">
        <f t="shared" si="0"/>
        <v>0.66962930578582947</v>
      </c>
    </row>
    <row r="38" spans="1:35">
      <c r="A38" s="8" t="s">
        <v>53</v>
      </c>
      <c r="B38" s="6">
        <f t="shared" ref="B38:AD38" si="6">SUM(B31,B19)</f>
        <v>338.4</v>
      </c>
      <c r="C38" s="6">
        <f t="shared" si="6"/>
        <v>341.70000000000005</v>
      </c>
      <c r="D38" s="6">
        <f t="shared" si="6"/>
        <v>341.9</v>
      </c>
      <c r="E38" s="6">
        <f t="shared" si="6"/>
        <v>343.20000000000005</v>
      </c>
      <c r="F38" s="6">
        <f t="shared" si="6"/>
        <v>348.70000000000005</v>
      </c>
      <c r="G38" s="6">
        <f t="shared" si="6"/>
        <v>348.4</v>
      </c>
      <c r="H38" s="6">
        <f t="shared" si="6"/>
        <v>350.2</v>
      </c>
      <c r="I38" s="6">
        <f t="shared" si="6"/>
        <v>352.1</v>
      </c>
      <c r="J38" s="6">
        <f t="shared" si="6"/>
        <v>352.1</v>
      </c>
      <c r="K38" s="6">
        <f t="shared" si="6"/>
        <v>353.7</v>
      </c>
      <c r="L38" s="6">
        <f t="shared" si="6"/>
        <v>354.3</v>
      </c>
      <c r="M38" s="6">
        <f t="shared" si="6"/>
        <v>354.4</v>
      </c>
      <c r="N38" s="6">
        <f t="shared" si="6"/>
        <v>354.9</v>
      </c>
      <c r="O38" s="6">
        <f t="shared" si="6"/>
        <v>356.3</v>
      </c>
      <c r="P38" s="6">
        <f t="shared" si="6"/>
        <v>358.29999999999995</v>
      </c>
      <c r="Q38" s="6">
        <f t="shared" si="6"/>
        <v>360.70000000000005</v>
      </c>
      <c r="R38" s="6">
        <f t="shared" si="6"/>
        <v>361.6</v>
      </c>
      <c r="S38" s="6">
        <f t="shared" si="6"/>
        <v>361.8</v>
      </c>
      <c r="T38" s="6">
        <f t="shared" si="6"/>
        <v>363</v>
      </c>
      <c r="U38" s="6">
        <f t="shared" si="6"/>
        <v>364.1</v>
      </c>
      <c r="V38" s="6">
        <f t="shared" si="6"/>
        <v>365.6</v>
      </c>
      <c r="W38" s="6">
        <f t="shared" si="6"/>
        <v>366.8</v>
      </c>
      <c r="X38" s="6">
        <f t="shared" si="6"/>
        <v>368</v>
      </c>
      <c r="Y38" s="6">
        <f t="shared" si="6"/>
        <v>369.3</v>
      </c>
      <c r="Z38" s="6">
        <f t="shared" si="6"/>
        <v>371</v>
      </c>
      <c r="AA38" s="6">
        <f t="shared" si="6"/>
        <v>373.6</v>
      </c>
      <c r="AB38" s="6">
        <f t="shared" si="6"/>
        <v>373.6</v>
      </c>
      <c r="AC38" s="6">
        <f t="shared" si="6"/>
        <v>375.6</v>
      </c>
      <c r="AD38" s="6">
        <f t="shared" si="6"/>
        <v>376.7</v>
      </c>
      <c r="AE38" s="32">
        <f t="shared" si="0"/>
        <v>0.62998742392745155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OCAC</dc:creator>
  <cp:keywords/>
  <dc:description/>
  <cp:lastModifiedBy/>
  <cp:revision/>
  <dcterms:created xsi:type="dcterms:W3CDTF">2025-07-03T11:51:51Z</dcterms:created>
  <dcterms:modified xsi:type="dcterms:W3CDTF">2026-01-30T10:59:52Z</dcterms:modified>
  <cp:category/>
  <cp:contentStatus/>
</cp:coreProperties>
</file>